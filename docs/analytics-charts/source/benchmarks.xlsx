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трики" sheetId="1" r:id="rId5"/>
    <sheet state="visible" name="Лист11" sheetId="2" r:id="rId6"/>
    <sheet state="visible" name="Лист13" sheetId="3" r:id="rId7"/>
    <sheet state="visible" name="Лист12" sheetId="4" r:id="rId8"/>
    <sheet state="visible" name="бенчи 2025" sheetId="5" r:id="rId9"/>
    <sheet state="visible" name="старые бенчмарки" sheetId="6" r:id="rId10"/>
    <sheet state="visible" name="с начала года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3">
      <text>
        <t xml:space="preserve">не было заявок</t>
      </text>
    </comment>
  </commentList>
</comments>
</file>

<file path=xl/sharedStrings.xml><?xml version="1.0" encoding="utf-8"?>
<sst xmlns="http://schemas.openxmlformats.org/spreadsheetml/2006/main" count="1911" uniqueCount="200">
  <si>
    <t>Отрасль</t>
  </si>
  <si>
    <t>Заявок</t>
  </si>
  <si>
    <t>Процент одобрения</t>
  </si>
  <si>
    <t>Одобрений</t>
  </si>
  <si>
    <t>Динамика</t>
  </si>
  <si>
    <t>ноябрь</t>
  </si>
  <si>
    <t>Декабрь</t>
  </si>
  <si>
    <t>Январь</t>
  </si>
  <si>
    <t>Оптовая/Розничная торговля</t>
  </si>
  <si>
    <t>Февраль</t>
  </si>
  <si>
    <t>Март</t>
  </si>
  <si>
    <t>Апрель</t>
  </si>
  <si>
    <t>Май</t>
  </si>
  <si>
    <t>Июнь</t>
  </si>
  <si>
    <t>Июль</t>
  </si>
  <si>
    <t>Банк</t>
  </si>
  <si>
    <t>IT</t>
  </si>
  <si>
    <t>Процент отказа</t>
  </si>
  <si>
    <t>Медиана</t>
  </si>
  <si>
    <t>Сделок</t>
  </si>
  <si>
    <t>Ранг</t>
  </si>
  <si>
    <t>75-% процентиль</t>
  </si>
  <si>
    <t>95-ый процентиль</t>
  </si>
  <si>
    <t>Строительство/производство стройматериалов</t>
  </si>
  <si>
    <t>ВТБ</t>
  </si>
  <si>
    <t>Наука и образование</t>
  </si>
  <si>
    <t>Государственное управление</t>
  </si>
  <si>
    <t>Здравоохранение</t>
  </si>
  <si>
    <t>1 886</t>
  </si>
  <si>
    <t>Юридические услуги</t>
  </si>
  <si>
    <t>Альфа-Банк</t>
  </si>
  <si>
    <t>Банки/финансы/лизинг/Страхование</t>
  </si>
  <si>
    <t>2 518</t>
  </si>
  <si>
    <t>Банк ДОМ.РФ</t>
  </si>
  <si>
    <t>Другое</t>
  </si>
  <si>
    <t>Процент одобрения по регионам</t>
  </si>
  <si>
    <t>Авиа, Авто, Судо- и прочие машиностроения</t>
  </si>
  <si>
    <t>Легкая и пищевая промышленность</t>
  </si>
  <si>
    <t>Москва</t>
  </si>
  <si>
    <t>Проектирование/дизайн</t>
  </si>
  <si>
    <t>МКБ</t>
  </si>
  <si>
    <t>Санкт-Петербург</t>
  </si>
  <si>
    <t>Совкомбанк</t>
  </si>
  <si>
    <t>1 306</t>
  </si>
  <si>
    <t>Регионы</t>
  </si>
  <si>
    <t>Промсвязьбанк</t>
  </si>
  <si>
    <t>Приборостроение/Радиоэлектроника</t>
  </si>
  <si>
    <t>Банк «Санкт-Петербург»</t>
  </si>
  <si>
    <t>1 106</t>
  </si>
  <si>
    <t>Предприятия ТЭК</t>
  </si>
  <si>
    <t>Скорость одобрения в часах</t>
  </si>
  <si>
    <t>Металлинвестбанк</t>
  </si>
  <si>
    <t>Металлургия</t>
  </si>
  <si>
    <t>Абсолют Банк</t>
  </si>
  <si>
    <t>Сельское хозяйство</t>
  </si>
  <si>
    <t>Банк Россия</t>
  </si>
  <si>
    <t>Салоны красоты/фитнес/спорт</t>
  </si>
  <si>
    <t>Уралсиб</t>
  </si>
  <si>
    <t>Доходы заемщиков</t>
  </si>
  <si>
    <t>Консалтинг и аудит</t>
  </si>
  <si>
    <t>Азиатско-Тихоокеанский Банк</t>
  </si>
  <si>
    <t>PR</t>
  </si>
  <si>
    <t>СНГБ</t>
  </si>
  <si>
    <t>0-49к</t>
  </si>
  <si>
    <t>ВБРР</t>
  </si>
  <si>
    <t>Связь/телекоммуникации</t>
  </si>
  <si>
    <t>Социальное обеспечение</t>
  </si>
  <si>
    <t>Химическая и фармацевтическая промышленность</t>
  </si>
  <si>
    <t>50-99к</t>
  </si>
  <si>
    <t>Добывающая промышленность(кроме ТЭК)</t>
  </si>
  <si>
    <t>Арендодатель/ риэлторская деятельность</t>
  </si>
  <si>
    <t>Культура/исскуство/шоу-бизнес</t>
  </si>
  <si>
    <t>Служба в вооруженных силах</t>
  </si>
  <si>
    <t>100-149к</t>
  </si>
  <si>
    <t>Услуги населению, ЖКХ</t>
  </si>
  <si>
    <t>Туризм/гостиничное дело/развлечения</t>
  </si>
  <si>
    <t>150-199к</t>
  </si>
  <si>
    <t>Общественное питание/рестораты/Кейтеринг</t>
  </si>
  <si>
    <t>Охрана</t>
  </si>
  <si>
    <t>200-249к</t>
  </si>
  <si>
    <t>Бытовые/коммунальные/ремонтные услуги</t>
  </si>
  <si>
    <t>HR</t>
  </si>
  <si>
    <t>250-500к</t>
  </si>
  <si>
    <t>Политические и общественные организации</t>
  </si>
  <si>
    <t>Автодилеры и автосервисы</t>
  </si>
  <si>
    <t>500+</t>
  </si>
  <si>
    <t>Печать/издательское дело</t>
  </si>
  <si>
    <t>Лесное хозяйство</t>
  </si>
  <si>
    <t>Производство вооружения</t>
  </si>
  <si>
    <t xml:space="preserve">Топ-10 сфер по отраслевой принадлежности заемщика </t>
  </si>
  <si>
    <t>Аварийные и спасательные службы</t>
  </si>
  <si>
    <t>Игорный бизнес</t>
  </si>
  <si>
    <t>Правоохранительня и судебная система</t>
  </si>
  <si>
    <t>Ювелирное дело/Предметы роскоши</t>
  </si>
  <si>
    <t>IT-сфера</t>
  </si>
  <si>
    <t>Зависимость процента одобрения от размера первого взноса</t>
  </si>
  <si>
    <t>ПВ: 10-14%</t>
  </si>
  <si>
    <t>ПВ: 15-19%</t>
  </si>
  <si>
    <t>ПВ: 20-29%</t>
  </si>
  <si>
    <t>ПВ: 30-39%</t>
  </si>
  <si>
    <t>ПВ: 40-49%</t>
  </si>
  <si>
    <t>ПВ: 50+%</t>
  </si>
  <si>
    <t>Тип ипотеки</t>
  </si>
  <si>
    <t>Стандартная</t>
  </si>
  <si>
    <t>Господдержка</t>
  </si>
  <si>
    <t>Семейная</t>
  </si>
  <si>
    <t>IT-ипотека</t>
  </si>
  <si>
    <t>Военная</t>
  </si>
  <si>
    <t>СМИ</t>
  </si>
  <si>
    <t>Дальневосточная</t>
  </si>
  <si>
    <t>Таможня/Налоговая полиция</t>
  </si>
  <si>
    <t xml:space="preserve">Топ-10 банков </t>
  </si>
  <si>
    <t>Т-Банк</t>
  </si>
  <si>
    <t>Остальные</t>
  </si>
  <si>
    <t>Август</t>
  </si>
  <si>
    <t>Сентябрь</t>
  </si>
  <si>
    <t>Октябрь</t>
  </si>
  <si>
    <t>Ноябрь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</si>
  <si>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</si>
  <si>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</si>
  <si>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</si>
  <si>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</si>
  <si>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</si>
  <si>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</si>
  <si>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</si>
  <si>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</si>
  <si>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</si>
  <si>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Субсидированные ипотеки</t>
  </si>
  <si>
    <t>Ежемесячный платеж от категории доходов</t>
  </si>
  <si>
    <t>декабрь</t>
  </si>
  <si>
    <t>1-49к</t>
  </si>
  <si>
    <t>мск</t>
  </si>
  <si>
    <t>спб</t>
  </si>
  <si>
    <t>500к+</t>
  </si>
  <si>
    <t>Рейтинг НБКИ</t>
  </si>
  <si>
    <t>регионы</t>
  </si>
  <si>
    <t>пока не делаем</t>
  </si>
  <si>
    <t>отличный (942 - 999)</t>
  </si>
  <si>
    <t>хороший (825 - 941)</t>
  </si>
  <si>
    <t>удовлетворительный (597 - 824)</t>
  </si>
  <si>
    <t>крайне плохой (1-596)</t>
  </si>
  <si>
    <t>ТОП банков по проценту одобрения</t>
  </si>
  <si>
    <t>Газпромбанк</t>
  </si>
  <si>
    <t>УБРиР</t>
  </si>
  <si>
    <t>Топ банков по скорости одобрения</t>
  </si>
  <si>
    <t>Россельхозбанк</t>
  </si>
  <si>
    <t>Топ банков по скорости реакции</t>
  </si>
  <si>
    <t>Примсоцбанк</t>
  </si>
  <si>
    <t>Воронка заявок</t>
  </si>
  <si>
    <t>1. Создана</t>
  </si>
  <si>
    <t>2. Заполнение анкеты</t>
  </si>
  <si>
    <t>-</t>
  </si>
  <si>
    <t>3. Анкета валидирована</t>
  </si>
  <si>
    <t>4. Отправлена в банк</t>
  </si>
  <si>
    <t>5. Одобрена</t>
  </si>
  <si>
    <t>Доля клиентов в зоне риска по результатам прескоринга</t>
  </si>
  <si>
    <t>Требуется дополнительная проверка</t>
  </si>
  <si>
    <t>Предварительный отказ</t>
  </si>
  <si>
    <t>Доля клиентов с риском отказа</t>
  </si>
  <si>
    <t>Долговая нагрузка</t>
  </si>
  <si>
    <t>пока не делаем этот график</t>
  </si>
  <si>
    <t>люди, у которых кредиты забирают 0-30% дохода</t>
  </si>
  <si>
    <t>люди, у которых кредиты забирают 30-60% дохода</t>
  </si>
  <si>
    <t>люди, у которых кредиты забирают более 60% дохода</t>
  </si>
  <si>
    <t>апрель 2025</t>
  </si>
  <si>
    <t>май 2025</t>
  </si>
  <si>
    <t>июль 2025</t>
  </si>
  <si>
    <t>октябрь (без сбера)</t>
  </si>
  <si>
    <t>берем эти данные</t>
  </si>
  <si>
    <t>Альфа-банк</t>
  </si>
  <si>
    <t>Сбербанк</t>
  </si>
  <si>
    <t>ДОМ.РФ</t>
  </si>
  <si>
    <t>Банк Санкт-Петербург</t>
  </si>
  <si>
    <t>Абсолют банк</t>
  </si>
  <si>
    <t xml:space="preserve">Остальные </t>
  </si>
  <si>
    <t>топ банков</t>
  </si>
  <si>
    <t>31.4%</t>
  </si>
  <si>
    <t>АК БАРС</t>
  </si>
  <si>
    <t>Просвязьбанк</t>
  </si>
  <si>
    <t>Почта банк</t>
  </si>
  <si>
    <t>Азиатско-Тихоокеанский банк</t>
  </si>
  <si>
    <t>ДОМ РФ</t>
  </si>
  <si>
    <t>январь</t>
  </si>
  <si>
    <t>Т-банк</t>
  </si>
  <si>
    <t xml:space="preserve">Уралсиб </t>
  </si>
  <si>
    <t>Тинькофф</t>
  </si>
  <si>
    <t>Остальны</t>
  </si>
  <si>
    <t>Транскапиталбанк</t>
  </si>
  <si>
    <t>Севергазбанк</t>
  </si>
  <si>
    <t>РостФинанс</t>
  </si>
  <si>
    <t>Базис Девелопмент(Дом.РФ)</t>
  </si>
  <si>
    <t>Топ-10 банков</t>
  </si>
  <si>
    <t>МТС Банк</t>
  </si>
  <si>
    <t>Семейка по топ-3</t>
  </si>
  <si>
    <t>Альфа, семейка - 80,6%</t>
  </si>
  <si>
    <t>Одобрение растет</t>
  </si>
  <si>
    <t>ВТБ, семейка - 83,7</t>
  </si>
  <si>
    <t>Совком, семейка - 53</t>
  </si>
  <si>
    <t>кол-во растет</t>
  </si>
  <si>
    <t>Надо показать, что количество ипотек в июне выросло на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</si>
</sst>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d.m"/>
  </numFmts>
  <fonts count="9">
    <font>
      <sz val="10.0"/>
      <color rgb="FF000000"/>
      <name val="Arial"/>
      <scheme val="minor"/>
    </font>
    <font>
      <color theme="1"/>
      <name val="&quot;YS Text&quot;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&quot;YS Text&quot;"/>
    </font>
    <font>
      <strike/>
      <color theme="1"/>
      <name val="Arial"/>
    </font>
    <font>
      <color rgb="FF66666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3F4041"/>
      </left>
      <right style="thin">
        <color rgb="FF3F4041"/>
      </right>
    </border>
    <border>
      <right style="thin">
        <color rgb="FF3F4041"/>
      </right>
    </border>
    <border>
      <left style="thin">
        <color rgb="FF3F4041"/>
      </left>
      <right style="thin">
        <color rgb="FF3F4041"/>
      </right>
      <bottom style="thin">
        <color rgb="FF3F4041"/>
      </bottom>
    </border>
    <border>
      <right style="thin">
        <color rgb="FF3F4041"/>
      </right>
      <bottom style="thin">
        <color rgb="FF3F4041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4" xfId="0" applyAlignment="1" applyBorder="1" applyFont="1" applyNumberFormat="1">
      <alignment horizontal="left" readingOrder="0" vertical="top"/>
    </xf>
    <xf borderId="0" fillId="2" fontId="2" numFmtId="0" xfId="0" applyAlignment="1" applyFill="1" applyFont="1">
      <alignment readingOrder="0"/>
    </xf>
    <xf borderId="1" fillId="0" fontId="1" numFmtId="164" xfId="0" applyAlignment="1" applyBorder="1" applyFont="1" applyNumberFormat="1">
      <alignment horizontal="left" readingOrder="0" vertical="top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/>
    </xf>
    <xf borderId="3" fillId="0" fontId="4" numFmtId="4" xfId="0" applyAlignment="1" applyBorder="1" applyFont="1" applyNumberFormat="1">
      <alignment horizontal="right" readingOrder="0" shrinkToFit="0" vertical="top" wrapText="0"/>
    </xf>
    <xf borderId="3" fillId="0" fontId="1" numFmtId="164" xfId="0" applyAlignment="1" applyBorder="1" applyFont="1" applyNumberFormat="1">
      <alignment horizontal="right" readingOrder="0" shrinkToFit="0" vertical="top" wrapText="0"/>
    </xf>
    <xf borderId="0" fillId="0" fontId="3" numFmtId="0" xfId="0" applyFont="1"/>
    <xf borderId="4" fillId="0" fontId="1" numFmtId="0" xfId="0" applyAlignment="1" applyBorder="1" applyFont="1">
      <alignment horizontal="right" readingOrder="0" shrinkToFit="0" vertical="top" wrapText="0"/>
    </xf>
    <xf borderId="3" fillId="0" fontId="1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4" fillId="0" fontId="1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3" fillId="0" fontId="4" numFmtId="0" xfId="0" applyAlignment="1" applyBorder="1" applyFont="1">
      <alignment horizontal="right" readingOrder="0" shrinkToFit="0" vertical="top" wrapText="0"/>
    </xf>
    <xf borderId="0" fillId="0" fontId="3" numFmtId="165" xfId="0" applyFont="1" applyNumberFormat="1"/>
    <xf borderId="3" fillId="0" fontId="1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horizontal="right" vertical="bottom"/>
    </xf>
    <xf borderId="4" fillId="0" fontId="6" numFmtId="0" xfId="0" applyAlignment="1" applyBorder="1" applyFont="1">
      <alignment horizontal="right" readingOrder="0" shrinkToFit="0" vertical="top" wrapText="0"/>
    </xf>
    <xf borderId="0" fillId="2" fontId="2" numFmtId="0" xfId="0" applyAlignment="1" applyFont="1">
      <alignment readingOrder="0" shrinkToFit="0" wrapText="1"/>
    </xf>
    <xf borderId="0" fillId="0" fontId="3" numFmtId="4" xfId="0" applyFont="1" applyNumberFormat="1"/>
    <xf borderId="0" fillId="0" fontId="3" numFmtId="164" xfId="0" applyFont="1" applyNumberFormat="1"/>
    <xf borderId="3" fillId="0" fontId="6" numFmtId="4" xfId="0" applyAlignment="1" applyBorder="1" applyFont="1" applyNumberFormat="1">
      <alignment horizontal="right" readingOrder="0" shrinkToFit="0" vertical="top" wrapText="0"/>
    </xf>
    <xf borderId="4" fillId="0" fontId="1" numFmtId="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horizontal="right" vertical="bottom"/>
    </xf>
    <xf borderId="0" fillId="0" fontId="3" numFmtId="2" xfId="0" applyAlignment="1" applyFont="1" applyNumberFormat="1">
      <alignment readingOrder="0"/>
    </xf>
    <xf borderId="0" fillId="0" fontId="4" numFmtId="2" xfId="0" applyAlignment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0" fontId="4" numFmtId="2" xfId="0" applyAlignment="1" applyFont="1" applyNumberFormat="1">
      <alignment horizontal="right" vertical="bottom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2" fontId="3" numFmtId="0" xfId="0" applyFont="1"/>
    <xf borderId="0" fillId="0" fontId="3" numFmtId="166" xfId="0" applyAlignment="1" applyFont="1" applyNumberFormat="1">
      <alignment readingOrder="0"/>
    </xf>
    <xf borderId="0" fillId="0" fontId="4" numFmtId="9" xfId="0" applyAlignment="1" applyFont="1" applyNumberFormat="1">
      <alignment vertical="bottom"/>
    </xf>
    <xf borderId="0" fillId="0" fontId="4" numFmtId="9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0" fontId="4" numFmtId="164" xfId="0" applyAlignment="1" applyFont="1" applyNumberFormat="1">
      <alignment vertical="bottom"/>
    </xf>
    <xf borderId="0" fillId="0" fontId="4" numFmtId="10" xfId="0" applyAlignment="1" applyFont="1" applyNumberFormat="1">
      <alignment horizontal="right" vertical="bottom"/>
    </xf>
    <xf borderId="0" fillId="0" fontId="2" numFmtId="0" xfId="0" applyFon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1447800</xdr:colOff>
      <xdr:row>211</xdr:row>
      <xdr:rowOff>57150</xdr:rowOff>
    </xdr:from>
    <xdr:ext cx="4876800" cy="22955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218</xdr:row>
      <xdr:rowOff>200025</xdr:rowOff>
    </xdr:from>
    <xdr:ext cx="4876800" cy="22574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218</xdr:row>
      <xdr:rowOff>200025</xdr:rowOff>
    </xdr:from>
    <xdr:ext cx="4876800" cy="2486025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232</xdr:row>
      <xdr:rowOff>28575</xdr:rowOff>
    </xdr:from>
    <xdr:ext cx="4876800" cy="2362200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232</xdr:row>
      <xdr:rowOff>171450</xdr:rowOff>
    </xdr:from>
    <xdr:ext cx="4876800" cy="2619375"/>
    <xdr:pic>
      <xdr:nvPicPr>
        <xdr:cNvPr id="0" name="image6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213</xdr:row>
      <xdr:rowOff>133350</xdr:rowOff>
    </xdr:from>
    <xdr:ext cx="4876800" cy="2762250"/>
    <xdr:pic>
      <xdr:nvPicPr>
        <xdr:cNvPr id="0" name="image5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15" max="15" width="18.25"/>
    <col customWidth="1" min="16" max="16" width="20.5"/>
    <col customWidth="1" min="17" max="30" width="16.63"/>
  </cols>
  <sheetData>
    <row r="1">
      <c r="A1" s="3" t="s">
        <v>2</v>
      </c>
      <c r="L1" s="5" t="s">
        <v>4</v>
      </c>
    </row>
    <row r="2">
      <c r="B2" s="5" t="s">
        <v>5</v>
      </c>
      <c r="C2" s="5" t="s">
        <v>6</v>
      </c>
      <c r="D2" s="5" t="s">
        <v>7</v>
      </c>
      <c r="E2" s="5" t="s">
        <v>9</v>
      </c>
      <c r="F2" s="5" t="s">
        <v>10</v>
      </c>
      <c r="G2" s="5" t="s">
        <v>11</v>
      </c>
      <c r="H2" s="8" t="s">
        <v>12</v>
      </c>
      <c r="I2" s="8" t="s">
        <v>13</v>
      </c>
      <c r="J2" s="8" t="s">
        <v>14</v>
      </c>
      <c r="K2" s="8"/>
    </row>
    <row r="3">
      <c r="B3" s="5">
        <v>59.8</v>
      </c>
      <c r="C3" s="5">
        <v>55.0</v>
      </c>
      <c r="D3" s="5">
        <v>50.4</v>
      </c>
      <c r="E3" s="5">
        <v>54.0</v>
      </c>
      <c r="F3" s="5">
        <v>55.9</v>
      </c>
      <c r="G3" s="5">
        <v>56.4</v>
      </c>
      <c r="H3" s="5">
        <v>63.8</v>
      </c>
      <c r="I3" s="5">
        <v>63.7</v>
      </c>
      <c r="J3" s="5">
        <v>62.6</v>
      </c>
      <c r="L3" s="11">
        <f t="shared" ref="L3:L89" si="1">J3-I3</f>
        <v>-1.1</v>
      </c>
    </row>
    <row r="4">
      <c r="L4" s="11">
        <f t="shared" si="1"/>
        <v>0</v>
      </c>
    </row>
    <row r="5">
      <c r="A5" s="3" t="s">
        <v>17</v>
      </c>
      <c r="L5" s="11">
        <f t="shared" si="1"/>
        <v>0</v>
      </c>
    </row>
    <row r="6">
      <c r="B6" s="14" t="s">
        <v>5</v>
      </c>
      <c r="C6" s="15" t="s">
        <v>6</v>
      </c>
      <c r="D6" s="14" t="s">
        <v>7</v>
      </c>
      <c r="E6" s="5" t="s">
        <v>9</v>
      </c>
      <c r="F6" s="5" t="s">
        <v>10</v>
      </c>
      <c r="G6" s="16" t="s">
        <v>11</v>
      </c>
      <c r="H6" s="8" t="s">
        <v>12</v>
      </c>
      <c r="I6" s="8" t="s">
        <v>13</v>
      </c>
      <c r="J6" s="8" t="s">
        <v>14</v>
      </c>
      <c r="K6" s="18"/>
      <c r="L6" s="11" t="str">
        <f t="shared" si="1"/>
        <v>#VALUE!</v>
      </c>
    </row>
    <row r="7">
      <c r="B7" s="19">
        <v>24.5</v>
      </c>
      <c r="C7" s="20">
        <v>30.5</v>
      </c>
      <c r="D7" s="20">
        <v>31.0</v>
      </c>
      <c r="E7" s="20">
        <v>29.2</v>
      </c>
      <c r="F7" s="20">
        <v>28.3</v>
      </c>
      <c r="G7" s="20">
        <v>28.2</v>
      </c>
      <c r="H7" s="20">
        <v>22.9</v>
      </c>
      <c r="I7" s="20">
        <v>23.1</v>
      </c>
      <c r="J7" s="20">
        <v>22.2</v>
      </c>
      <c r="K7" s="19"/>
      <c r="L7" s="11">
        <f t="shared" si="1"/>
        <v>-0.9</v>
      </c>
    </row>
    <row r="8">
      <c r="L8" s="11">
        <f t="shared" si="1"/>
        <v>0</v>
      </c>
    </row>
    <row r="9">
      <c r="L9" s="11">
        <f t="shared" si="1"/>
        <v>0</v>
      </c>
    </row>
    <row r="10">
      <c r="A10" s="3" t="s">
        <v>35</v>
      </c>
      <c r="L10" s="11">
        <f t="shared" si="1"/>
        <v>0</v>
      </c>
    </row>
    <row r="11">
      <c r="B11" s="5" t="s">
        <v>5</v>
      </c>
      <c r="C11" s="5" t="s">
        <v>6</v>
      </c>
      <c r="D11" s="5" t="s">
        <v>7</v>
      </c>
      <c r="E11" s="5" t="s">
        <v>9</v>
      </c>
      <c r="F11" s="5" t="s">
        <v>10</v>
      </c>
      <c r="G11" s="5" t="s">
        <v>11</v>
      </c>
      <c r="H11" s="8" t="s">
        <v>12</v>
      </c>
      <c r="I11" s="8" t="s">
        <v>13</v>
      </c>
      <c r="J11" s="8" t="s">
        <v>14</v>
      </c>
      <c r="K11" s="8"/>
      <c r="L11" s="11" t="str">
        <f t="shared" si="1"/>
        <v>#VALUE!</v>
      </c>
    </row>
    <row r="12">
      <c r="A12" s="5" t="s">
        <v>38</v>
      </c>
      <c r="B12" s="5">
        <v>65.9</v>
      </c>
      <c r="C12" s="5">
        <v>60.0</v>
      </c>
      <c r="D12" s="5">
        <v>56.0</v>
      </c>
      <c r="E12" s="5">
        <v>59.0</v>
      </c>
      <c r="F12" s="5">
        <v>63.0</v>
      </c>
      <c r="G12" s="5">
        <v>64.0</v>
      </c>
      <c r="H12" s="5">
        <v>71.0</v>
      </c>
      <c r="I12" s="5">
        <v>71.0</v>
      </c>
      <c r="J12" s="5">
        <v>69.0</v>
      </c>
      <c r="L12" s="11">
        <f t="shared" si="1"/>
        <v>-2</v>
      </c>
    </row>
    <row r="13">
      <c r="A13" s="5" t="s">
        <v>41</v>
      </c>
      <c r="B13" s="5">
        <v>69.0</v>
      </c>
      <c r="C13" s="5">
        <v>65.0</v>
      </c>
      <c r="D13" s="5">
        <v>51.0</v>
      </c>
      <c r="E13" s="5">
        <v>56.0</v>
      </c>
      <c r="F13" s="5">
        <v>56.0</v>
      </c>
      <c r="G13" s="5">
        <v>63.0</v>
      </c>
      <c r="H13" s="5">
        <v>70.0</v>
      </c>
      <c r="I13" s="5">
        <v>72.0</v>
      </c>
      <c r="J13" s="5">
        <v>71.0</v>
      </c>
      <c r="L13" s="11">
        <f t="shared" si="1"/>
        <v>-1</v>
      </c>
    </row>
    <row r="14">
      <c r="A14" s="5" t="s">
        <v>44</v>
      </c>
      <c r="B14" s="5">
        <v>53.6</v>
      </c>
      <c r="C14" s="5">
        <v>41.0</v>
      </c>
      <c r="D14" s="5">
        <v>43.0</v>
      </c>
      <c r="E14" s="5">
        <v>47.0</v>
      </c>
      <c r="F14" s="5">
        <v>48.0</v>
      </c>
      <c r="G14" s="5">
        <v>46.0</v>
      </c>
      <c r="H14" s="5">
        <v>52.0</v>
      </c>
      <c r="I14" s="5">
        <v>53.0</v>
      </c>
      <c r="J14" s="5">
        <v>52.0</v>
      </c>
      <c r="L14" s="11">
        <f t="shared" si="1"/>
        <v>-1</v>
      </c>
    </row>
    <row r="15">
      <c r="L15" s="11">
        <f t="shared" si="1"/>
        <v>0</v>
      </c>
    </row>
    <row r="16">
      <c r="L16" s="11">
        <f t="shared" si="1"/>
        <v>0</v>
      </c>
    </row>
    <row r="17">
      <c r="A17" s="3" t="s">
        <v>50</v>
      </c>
      <c r="L17" s="11">
        <f t="shared" si="1"/>
        <v>0</v>
      </c>
    </row>
    <row r="18">
      <c r="B18" s="5" t="s">
        <v>5</v>
      </c>
      <c r="C18" s="5" t="s">
        <v>6</v>
      </c>
      <c r="D18" s="5" t="s">
        <v>7</v>
      </c>
      <c r="E18" s="5" t="s">
        <v>9</v>
      </c>
      <c r="F18" s="5" t="s">
        <v>10</v>
      </c>
      <c r="G18" s="5" t="s">
        <v>11</v>
      </c>
      <c r="H18" s="8" t="s">
        <v>12</v>
      </c>
      <c r="I18" s="8" t="s">
        <v>13</v>
      </c>
      <c r="J18" s="8" t="s">
        <v>14</v>
      </c>
      <c r="L18" s="11" t="str">
        <f t="shared" si="1"/>
        <v>#VALUE!</v>
      </c>
    </row>
    <row r="19">
      <c r="B19" s="5">
        <v>5.8</v>
      </c>
      <c r="C19" s="5">
        <v>7.01</v>
      </c>
      <c r="D19" s="5">
        <v>3.67</v>
      </c>
      <c r="E19" s="5">
        <v>3.26</v>
      </c>
      <c r="F19" s="5">
        <v>2.93</v>
      </c>
      <c r="G19" s="5">
        <v>2.89</v>
      </c>
      <c r="H19" s="5">
        <v>3.27</v>
      </c>
      <c r="I19" s="5">
        <v>3.0</v>
      </c>
      <c r="J19" s="5">
        <v>2.4</v>
      </c>
      <c r="L19" s="11">
        <f t="shared" si="1"/>
        <v>-0.6</v>
      </c>
    </row>
    <row r="20">
      <c r="L20" s="11">
        <f t="shared" si="1"/>
        <v>0</v>
      </c>
    </row>
    <row r="21">
      <c r="A21" s="3" t="s">
        <v>58</v>
      </c>
      <c r="L21" s="11">
        <f t="shared" si="1"/>
        <v>0</v>
      </c>
    </row>
    <row r="22">
      <c r="B22" s="8" t="s">
        <v>5</v>
      </c>
      <c r="C22" s="5" t="s">
        <v>6</v>
      </c>
      <c r="D22" s="5" t="s">
        <v>7</v>
      </c>
      <c r="E22" s="5" t="s">
        <v>9</v>
      </c>
      <c r="F22" s="5" t="s">
        <v>10</v>
      </c>
      <c r="G22" s="5" t="s">
        <v>11</v>
      </c>
      <c r="H22" s="8" t="s">
        <v>12</v>
      </c>
      <c r="I22" s="8" t="s">
        <v>13</v>
      </c>
      <c r="J22" s="8" t="s">
        <v>14</v>
      </c>
      <c r="L22" s="11" t="str">
        <f t="shared" si="1"/>
        <v>#VALUE!</v>
      </c>
    </row>
    <row r="23">
      <c r="B23" s="5" t="s">
        <v>63</v>
      </c>
      <c r="H23" s="5" t="s">
        <v>63</v>
      </c>
      <c r="I23" s="5"/>
      <c r="J23" s="5"/>
      <c r="L23" s="11">
        <f t="shared" si="1"/>
        <v>0</v>
      </c>
    </row>
    <row r="24">
      <c r="B24" s="5">
        <v>1.5</v>
      </c>
      <c r="C24" s="5">
        <v>1.3</v>
      </c>
      <c r="D24" s="5">
        <v>1.6</v>
      </c>
      <c r="E24" s="5">
        <v>1.4</v>
      </c>
      <c r="F24" s="5">
        <v>1.1</v>
      </c>
      <c r="G24" s="5">
        <v>1.1</v>
      </c>
      <c r="H24" s="5">
        <v>0.8</v>
      </c>
      <c r="I24" s="5">
        <v>1.3</v>
      </c>
      <c r="J24" s="5">
        <v>1.5</v>
      </c>
      <c r="L24" s="11">
        <f t="shared" si="1"/>
        <v>0.2</v>
      </c>
    </row>
    <row r="25">
      <c r="A25" s="22"/>
      <c r="B25" s="22" t="s">
        <v>68</v>
      </c>
      <c r="C25" s="22"/>
      <c r="H25" s="22" t="s">
        <v>68</v>
      </c>
      <c r="I25" s="22"/>
      <c r="J25" s="22"/>
      <c r="L25" s="24">
        <f t="shared" si="1"/>
        <v>0</v>
      </c>
    </row>
    <row r="26">
      <c r="A26" s="22"/>
      <c r="B26" s="5">
        <v>12.8</v>
      </c>
      <c r="C26" s="5">
        <v>8.9</v>
      </c>
      <c r="D26" s="5">
        <v>8.9</v>
      </c>
      <c r="E26" s="5">
        <v>10.9</v>
      </c>
      <c r="F26" s="5">
        <v>8.8</v>
      </c>
      <c r="G26" s="5">
        <v>10.1</v>
      </c>
      <c r="H26" s="5">
        <v>8.8</v>
      </c>
      <c r="I26" s="5">
        <v>8.5</v>
      </c>
      <c r="J26" s="5">
        <v>9.7</v>
      </c>
      <c r="L26" s="11">
        <f t="shared" si="1"/>
        <v>1.2</v>
      </c>
    </row>
    <row r="27">
      <c r="A27" s="22"/>
      <c r="B27" s="22" t="s">
        <v>73</v>
      </c>
      <c r="C27" s="22"/>
      <c r="H27" s="22" t="s">
        <v>73</v>
      </c>
      <c r="I27" s="22"/>
      <c r="J27" s="22"/>
      <c r="L27" s="24">
        <f t="shared" si="1"/>
        <v>0</v>
      </c>
    </row>
    <row r="28">
      <c r="A28" s="22"/>
      <c r="B28" s="5">
        <v>20.1</v>
      </c>
      <c r="C28" s="5">
        <v>18.1</v>
      </c>
      <c r="D28" s="5">
        <v>18.2</v>
      </c>
      <c r="E28" s="5">
        <v>19.1</v>
      </c>
      <c r="F28" s="5">
        <v>16.4</v>
      </c>
      <c r="G28" s="5">
        <v>18.9</v>
      </c>
      <c r="H28" s="5">
        <v>17.5</v>
      </c>
      <c r="I28" s="5">
        <v>17.1</v>
      </c>
      <c r="J28" s="5">
        <v>18.3</v>
      </c>
      <c r="L28" s="11">
        <f t="shared" si="1"/>
        <v>1.2</v>
      </c>
    </row>
    <row r="29">
      <c r="A29" s="22"/>
      <c r="B29" s="22" t="s">
        <v>76</v>
      </c>
      <c r="C29" s="22"/>
      <c r="H29" s="22" t="s">
        <v>76</v>
      </c>
      <c r="I29" s="22"/>
      <c r="J29" s="22"/>
      <c r="L29" s="24">
        <f t="shared" si="1"/>
        <v>0</v>
      </c>
    </row>
    <row r="30">
      <c r="A30" s="22"/>
      <c r="B30" s="5">
        <v>19.7</v>
      </c>
      <c r="C30" s="5">
        <v>19.3</v>
      </c>
      <c r="D30" s="5">
        <v>18.8</v>
      </c>
      <c r="E30" s="5">
        <v>17.7</v>
      </c>
      <c r="F30" s="5">
        <v>17.9</v>
      </c>
      <c r="G30" s="5">
        <v>17.8</v>
      </c>
      <c r="H30" s="5">
        <v>18.2</v>
      </c>
      <c r="I30" s="5">
        <v>18.2</v>
      </c>
      <c r="J30" s="5">
        <v>17.6</v>
      </c>
      <c r="L30" s="11">
        <f t="shared" si="1"/>
        <v>-0.6</v>
      </c>
    </row>
    <row r="31">
      <c r="A31" s="22"/>
      <c r="B31" s="22" t="s">
        <v>79</v>
      </c>
      <c r="C31" s="22"/>
      <c r="H31" s="22" t="s">
        <v>79</v>
      </c>
      <c r="I31" s="22"/>
      <c r="J31" s="22"/>
      <c r="L31" s="24">
        <f t="shared" si="1"/>
        <v>0</v>
      </c>
    </row>
    <row r="32">
      <c r="A32" s="22"/>
      <c r="B32" s="5">
        <v>12.4</v>
      </c>
      <c r="C32" s="5">
        <v>14.3</v>
      </c>
      <c r="D32" s="5">
        <v>14.1</v>
      </c>
      <c r="E32" s="5">
        <v>12.0</v>
      </c>
      <c r="F32" s="5">
        <v>12.2</v>
      </c>
      <c r="G32" s="5">
        <v>12.5</v>
      </c>
      <c r="H32" s="5">
        <v>13.4</v>
      </c>
      <c r="I32" s="5">
        <v>13.6</v>
      </c>
      <c r="J32" s="5">
        <v>12.4</v>
      </c>
      <c r="L32" s="11">
        <f t="shared" si="1"/>
        <v>-1.2</v>
      </c>
    </row>
    <row r="33">
      <c r="A33" s="22"/>
      <c r="B33" s="22" t="s">
        <v>82</v>
      </c>
      <c r="C33" s="22"/>
      <c r="H33" s="22" t="s">
        <v>82</v>
      </c>
      <c r="I33" s="22"/>
      <c r="J33" s="22"/>
      <c r="L33" s="24">
        <f t="shared" si="1"/>
        <v>0</v>
      </c>
    </row>
    <row r="34">
      <c r="A34" s="22"/>
      <c r="B34" s="5">
        <v>23.0</v>
      </c>
      <c r="C34" s="5">
        <v>26.6</v>
      </c>
      <c r="D34" s="5">
        <v>25.4</v>
      </c>
      <c r="E34" s="5">
        <v>24.8</v>
      </c>
      <c r="F34" s="5">
        <v>28.5</v>
      </c>
      <c r="G34" s="5">
        <v>26.0</v>
      </c>
      <c r="H34" s="5">
        <v>26.9</v>
      </c>
      <c r="I34" s="5">
        <v>26.8</v>
      </c>
      <c r="J34" s="5">
        <v>27.2</v>
      </c>
      <c r="L34" s="11">
        <f t="shared" si="1"/>
        <v>0.4</v>
      </c>
    </row>
    <row r="35">
      <c r="B35" s="5" t="s">
        <v>85</v>
      </c>
      <c r="H35" s="5" t="s">
        <v>85</v>
      </c>
      <c r="I35" s="5"/>
      <c r="J35" s="5"/>
      <c r="L35" s="11">
        <f t="shared" si="1"/>
        <v>0</v>
      </c>
    </row>
    <row r="36">
      <c r="B36" s="5">
        <v>10.3</v>
      </c>
      <c r="C36" s="5">
        <v>11.6</v>
      </c>
      <c r="D36" s="5">
        <v>13.0</v>
      </c>
      <c r="E36" s="5">
        <v>14.1</v>
      </c>
      <c r="F36" s="5">
        <v>14.9</v>
      </c>
      <c r="G36" s="5">
        <v>13.6</v>
      </c>
      <c r="H36" s="5">
        <v>14.4</v>
      </c>
      <c r="I36" s="5">
        <v>14.6</v>
      </c>
      <c r="J36" s="5">
        <v>13.3</v>
      </c>
      <c r="L36" s="11">
        <f t="shared" si="1"/>
        <v>-1.3</v>
      </c>
    </row>
    <row r="37">
      <c r="A37" s="28" t="s">
        <v>89</v>
      </c>
      <c r="L37" s="11">
        <f t="shared" si="1"/>
        <v>0</v>
      </c>
    </row>
    <row r="38">
      <c r="B38" s="5" t="s">
        <v>5</v>
      </c>
      <c r="C38" s="5" t="s">
        <v>6</v>
      </c>
      <c r="D38" s="5" t="s">
        <v>7</v>
      </c>
      <c r="E38" s="5" t="s">
        <v>9</v>
      </c>
      <c r="F38" s="5" t="s">
        <v>10</v>
      </c>
      <c r="G38" s="5" t="s">
        <v>11</v>
      </c>
      <c r="H38" s="8" t="s">
        <v>12</v>
      </c>
      <c r="I38" s="8" t="s">
        <v>13</v>
      </c>
      <c r="J38" s="8" t="s">
        <v>14</v>
      </c>
      <c r="L38" s="11" t="str">
        <f t="shared" si="1"/>
        <v>#VALUE!</v>
      </c>
      <c r="O38" s="21"/>
    </row>
    <row r="39">
      <c r="A39" s="5" t="s">
        <v>8</v>
      </c>
      <c r="F39" s="5" t="s">
        <v>8</v>
      </c>
      <c r="L39" s="11">
        <f t="shared" si="1"/>
        <v>0</v>
      </c>
      <c r="N39" s="21"/>
      <c r="O39" s="26"/>
      <c r="P39" s="21"/>
    </row>
    <row r="40">
      <c r="B40" s="5">
        <v>22.6</v>
      </c>
      <c r="C40" s="5">
        <v>21.0</v>
      </c>
      <c r="D40" s="5">
        <v>20.5</v>
      </c>
      <c r="E40" s="5">
        <v>19.0</v>
      </c>
      <c r="F40" s="5">
        <v>23.9</v>
      </c>
      <c r="G40" s="5">
        <v>22.9</v>
      </c>
      <c r="H40" s="5">
        <v>18.3</v>
      </c>
      <c r="I40" s="5">
        <v>18.4</v>
      </c>
      <c r="J40" s="5">
        <v>17.5</v>
      </c>
      <c r="L40" s="11">
        <f t="shared" si="1"/>
        <v>-0.9</v>
      </c>
      <c r="N40" s="21"/>
      <c r="O40" s="26"/>
      <c r="P40" s="21"/>
    </row>
    <row r="41">
      <c r="A41" s="5" t="s">
        <v>94</v>
      </c>
      <c r="F41" s="5" t="s">
        <v>94</v>
      </c>
      <c r="L41" s="11">
        <f t="shared" si="1"/>
        <v>0</v>
      </c>
      <c r="N41" s="21"/>
      <c r="O41" s="26"/>
      <c r="P41" s="21"/>
    </row>
    <row r="42">
      <c r="B42" s="5">
        <v>7.9</v>
      </c>
      <c r="C42" s="5">
        <v>6.6</v>
      </c>
      <c r="D42" s="5">
        <v>7.2</v>
      </c>
      <c r="E42" s="5">
        <v>7.9</v>
      </c>
      <c r="F42" s="5">
        <v>9.6</v>
      </c>
      <c r="G42" s="5">
        <v>9.8</v>
      </c>
      <c r="H42" s="5">
        <v>8.4</v>
      </c>
      <c r="I42" s="5">
        <v>7.6</v>
      </c>
      <c r="J42" s="5">
        <v>9.0</v>
      </c>
      <c r="L42" s="11">
        <f t="shared" si="1"/>
        <v>1.4</v>
      </c>
      <c r="N42" s="21"/>
      <c r="O42" s="26"/>
      <c r="P42" s="21"/>
    </row>
    <row r="43">
      <c r="A43" s="5" t="s">
        <v>23</v>
      </c>
      <c r="F43" s="5" t="s">
        <v>23</v>
      </c>
      <c r="L43" s="11">
        <f t="shared" si="1"/>
        <v>0</v>
      </c>
      <c r="N43" s="21"/>
      <c r="O43" s="26"/>
      <c r="P43" s="21"/>
    </row>
    <row r="44">
      <c r="B44" s="5">
        <v>9.2</v>
      </c>
      <c r="C44" s="5">
        <v>9.5</v>
      </c>
      <c r="D44" s="5">
        <v>9.7</v>
      </c>
      <c r="E44" s="5">
        <v>8.1</v>
      </c>
      <c r="F44" s="5">
        <v>10.3</v>
      </c>
      <c r="G44" s="5">
        <v>8.6</v>
      </c>
      <c r="H44" s="5">
        <v>8.5</v>
      </c>
      <c r="I44" s="5">
        <v>8.0</v>
      </c>
      <c r="J44" s="5">
        <v>7.2</v>
      </c>
      <c r="L44" s="11">
        <f t="shared" si="1"/>
        <v>-0.8</v>
      </c>
      <c r="N44" s="21"/>
      <c r="O44" s="26"/>
      <c r="P44" s="21"/>
    </row>
    <row r="45">
      <c r="A45" s="5" t="s">
        <v>25</v>
      </c>
      <c r="F45" s="5" t="s">
        <v>25</v>
      </c>
      <c r="L45" s="11">
        <f t="shared" si="1"/>
        <v>0</v>
      </c>
      <c r="N45" s="21"/>
      <c r="O45" s="26"/>
      <c r="P45" s="21"/>
    </row>
    <row r="46">
      <c r="B46" s="5">
        <v>5.7</v>
      </c>
      <c r="C46" s="5">
        <v>6.0</v>
      </c>
      <c r="D46" s="5">
        <v>5.5</v>
      </c>
      <c r="E46" s="5">
        <v>6.1</v>
      </c>
      <c r="F46" s="5">
        <v>7.6</v>
      </c>
      <c r="G46" s="5">
        <v>8.0</v>
      </c>
      <c r="H46" s="5">
        <v>5.7</v>
      </c>
      <c r="I46" s="5">
        <v>5.7</v>
      </c>
      <c r="J46" s="5">
        <v>5.8</v>
      </c>
      <c r="L46" s="11">
        <f t="shared" si="1"/>
        <v>0.1</v>
      </c>
      <c r="N46" s="21"/>
      <c r="O46" s="26"/>
      <c r="P46" s="21"/>
    </row>
    <row r="47">
      <c r="A47" s="5" t="s">
        <v>26</v>
      </c>
      <c r="F47" s="5" t="s">
        <v>26</v>
      </c>
      <c r="L47" s="11">
        <f t="shared" si="1"/>
        <v>0</v>
      </c>
      <c r="N47" s="21"/>
      <c r="O47" s="26"/>
      <c r="P47" s="21"/>
    </row>
    <row r="48">
      <c r="B48" s="5">
        <v>5.2</v>
      </c>
      <c r="C48" s="5">
        <v>5.3</v>
      </c>
      <c r="D48" s="5">
        <v>6.4</v>
      </c>
      <c r="E48" s="5">
        <v>6.9</v>
      </c>
      <c r="F48" s="5">
        <v>5.9</v>
      </c>
      <c r="G48" s="5">
        <v>7.7</v>
      </c>
      <c r="H48" s="5">
        <v>5.9</v>
      </c>
      <c r="I48" s="5">
        <v>5.5</v>
      </c>
      <c r="J48" s="5">
        <v>5.8</v>
      </c>
      <c r="L48" s="11">
        <f t="shared" si="1"/>
        <v>0.3</v>
      </c>
      <c r="N48" s="21"/>
      <c r="O48" s="26"/>
      <c r="P48" s="21"/>
    </row>
    <row r="49">
      <c r="A49" s="5" t="s">
        <v>27</v>
      </c>
      <c r="F49" s="5" t="s">
        <v>27</v>
      </c>
      <c r="L49" s="11">
        <f t="shared" si="1"/>
        <v>0</v>
      </c>
      <c r="N49" s="21"/>
      <c r="O49" s="26"/>
      <c r="P49" s="21"/>
    </row>
    <row r="50">
      <c r="B50" s="5">
        <v>5.0</v>
      </c>
      <c r="C50" s="5">
        <v>5.1</v>
      </c>
      <c r="D50" s="5">
        <v>5.0</v>
      </c>
      <c r="E50" s="5">
        <v>5.2</v>
      </c>
      <c r="F50" s="5">
        <v>6.2</v>
      </c>
      <c r="G50" s="5">
        <v>7.3</v>
      </c>
      <c r="H50" s="5">
        <v>5.0</v>
      </c>
      <c r="I50" s="5">
        <v>5.0</v>
      </c>
      <c r="J50" s="5">
        <v>5.7</v>
      </c>
      <c r="L50" s="11">
        <f t="shared" si="1"/>
        <v>0.7</v>
      </c>
      <c r="O50" s="21"/>
    </row>
    <row r="51">
      <c r="A51" s="5" t="s">
        <v>37</v>
      </c>
      <c r="F51" s="5" t="s">
        <v>37</v>
      </c>
      <c r="L51" s="11">
        <f t="shared" si="1"/>
        <v>0</v>
      </c>
      <c r="N51" s="21"/>
      <c r="O51" s="21"/>
    </row>
    <row r="52">
      <c r="B52" s="5">
        <v>5.2</v>
      </c>
      <c r="C52" s="5">
        <v>4.3</v>
      </c>
      <c r="D52" s="5">
        <v>3.7</v>
      </c>
      <c r="E52" s="5">
        <v>3.8</v>
      </c>
      <c r="F52" s="5">
        <v>5.0</v>
      </c>
      <c r="G52" s="5">
        <v>5.5</v>
      </c>
      <c r="H52" s="5">
        <v>3.6</v>
      </c>
      <c r="I52" s="5">
        <v>3.3</v>
      </c>
      <c r="J52" s="5">
        <v>3.4</v>
      </c>
      <c r="L52" s="11">
        <f t="shared" si="1"/>
        <v>0.1</v>
      </c>
      <c r="N52" s="21"/>
      <c r="O52" s="21"/>
    </row>
    <row r="53">
      <c r="A53" s="5" t="s">
        <v>36</v>
      </c>
      <c r="F53" s="5" t="s">
        <v>36</v>
      </c>
      <c r="L53" s="11">
        <f t="shared" si="1"/>
        <v>0</v>
      </c>
      <c r="N53" s="21"/>
    </row>
    <row r="54">
      <c r="B54" s="5">
        <v>5.2</v>
      </c>
      <c r="C54" s="5">
        <v>4.5</v>
      </c>
      <c r="D54" s="5">
        <v>4.3</v>
      </c>
      <c r="E54" s="5">
        <v>3.8</v>
      </c>
      <c r="F54" s="5">
        <v>4.9</v>
      </c>
      <c r="G54" s="5">
        <v>5.3</v>
      </c>
      <c r="H54" s="5">
        <v>4.1</v>
      </c>
      <c r="I54" s="5">
        <v>4.5</v>
      </c>
      <c r="J54" s="5">
        <v>4.2</v>
      </c>
      <c r="L54" s="11">
        <f t="shared" si="1"/>
        <v>-0.3</v>
      </c>
    </row>
    <row r="55">
      <c r="A55" s="5" t="s">
        <v>29</v>
      </c>
      <c r="F55" s="5" t="s">
        <v>29</v>
      </c>
      <c r="L55" s="11">
        <f t="shared" si="1"/>
        <v>0</v>
      </c>
    </row>
    <row r="56">
      <c r="B56" s="5">
        <v>4.8</v>
      </c>
      <c r="C56" s="5">
        <v>4.6</v>
      </c>
      <c r="D56" s="5">
        <v>4.5</v>
      </c>
      <c r="E56" s="5">
        <v>4.6</v>
      </c>
      <c r="F56" s="5">
        <v>5.4</v>
      </c>
      <c r="G56" s="5">
        <v>6.4</v>
      </c>
      <c r="H56" s="5">
        <v>4.5</v>
      </c>
      <c r="I56" s="5">
        <v>4.1</v>
      </c>
      <c r="J56" s="5">
        <v>4.8</v>
      </c>
      <c r="L56" s="11">
        <f t="shared" si="1"/>
        <v>0.7</v>
      </c>
    </row>
    <row r="57">
      <c r="A57" s="5" t="s">
        <v>31</v>
      </c>
      <c r="F57" s="5" t="s">
        <v>31</v>
      </c>
      <c r="L57" s="11">
        <f t="shared" si="1"/>
        <v>0</v>
      </c>
    </row>
    <row r="58">
      <c r="B58" s="5">
        <v>3.9</v>
      </c>
      <c r="C58" s="5">
        <v>4.3</v>
      </c>
      <c r="D58" s="5">
        <v>4.3</v>
      </c>
      <c r="E58" s="5">
        <v>5.6</v>
      </c>
      <c r="F58" s="5">
        <v>6.2</v>
      </c>
      <c r="G58" s="5">
        <v>6.0</v>
      </c>
      <c r="H58" s="5">
        <v>6.4</v>
      </c>
      <c r="I58" s="5">
        <v>4.9</v>
      </c>
      <c r="J58" s="5">
        <v>4.9</v>
      </c>
      <c r="L58" s="11">
        <f t="shared" si="1"/>
        <v>0</v>
      </c>
    </row>
    <row r="59">
      <c r="L59" s="11">
        <f t="shared" si="1"/>
        <v>0</v>
      </c>
    </row>
    <row r="60">
      <c r="A60" s="28" t="s">
        <v>95</v>
      </c>
      <c r="L60" s="11">
        <f t="shared" si="1"/>
        <v>0</v>
      </c>
    </row>
    <row r="61">
      <c r="B61" s="5" t="s">
        <v>5</v>
      </c>
      <c r="C61" s="5" t="s">
        <v>6</v>
      </c>
      <c r="D61" s="5" t="s">
        <v>7</v>
      </c>
      <c r="E61" s="5" t="s">
        <v>9</v>
      </c>
      <c r="F61" s="5" t="s">
        <v>10</v>
      </c>
      <c r="G61" s="5" t="s">
        <v>11</v>
      </c>
      <c r="H61" s="8" t="s">
        <v>12</v>
      </c>
      <c r="I61" s="8" t="s">
        <v>13</v>
      </c>
      <c r="J61" s="8" t="s">
        <v>14</v>
      </c>
      <c r="L61" s="11" t="str">
        <f t="shared" si="1"/>
        <v>#VALUE!</v>
      </c>
    </row>
    <row r="62">
      <c r="B62" s="5" t="s">
        <v>96</v>
      </c>
      <c r="L62" s="11">
        <f t="shared" si="1"/>
        <v>0</v>
      </c>
    </row>
    <row r="63">
      <c r="L63" s="11">
        <f t="shared" si="1"/>
        <v>0</v>
      </c>
    </row>
    <row r="64">
      <c r="B64" s="5" t="s">
        <v>97</v>
      </c>
      <c r="L64" s="11">
        <f t="shared" si="1"/>
        <v>0</v>
      </c>
    </row>
    <row r="65">
      <c r="L65" s="11">
        <f t="shared" si="1"/>
        <v>0</v>
      </c>
    </row>
    <row r="66">
      <c r="B66" s="5" t="s">
        <v>98</v>
      </c>
      <c r="L66" s="11">
        <f t="shared" si="1"/>
        <v>0</v>
      </c>
    </row>
    <row r="67">
      <c r="B67" s="5">
        <v>59.04</v>
      </c>
      <c r="C67" s="5">
        <v>55.0</v>
      </c>
      <c r="D67" s="5">
        <v>49.0</v>
      </c>
      <c r="E67" s="5">
        <v>52.0</v>
      </c>
      <c r="F67" s="5">
        <v>54.0</v>
      </c>
      <c r="G67" s="5">
        <v>53.0</v>
      </c>
      <c r="H67" s="5">
        <v>61.0</v>
      </c>
      <c r="I67" s="5">
        <v>60.0</v>
      </c>
      <c r="J67" s="5">
        <v>59.0</v>
      </c>
      <c r="L67" s="11">
        <f t="shared" si="1"/>
        <v>-1</v>
      </c>
    </row>
    <row r="68">
      <c r="B68" s="5" t="s">
        <v>99</v>
      </c>
      <c r="H68" s="5"/>
      <c r="I68" s="5"/>
      <c r="J68" s="5"/>
      <c r="L68" s="11">
        <f t="shared" si="1"/>
        <v>0</v>
      </c>
    </row>
    <row r="69">
      <c r="B69" s="5">
        <v>55.75</v>
      </c>
      <c r="C69" s="5">
        <v>49.0</v>
      </c>
      <c r="D69" s="5">
        <v>47.0</v>
      </c>
      <c r="E69" s="5">
        <v>51.0</v>
      </c>
      <c r="F69" s="5">
        <v>50.0</v>
      </c>
      <c r="G69" s="5">
        <v>58.0</v>
      </c>
      <c r="H69" s="5">
        <v>62.0</v>
      </c>
      <c r="I69" s="5">
        <v>67.0</v>
      </c>
      <c r="J69" s="5">
        <v>62.0</v>
      </c>
      <c r="L69" s="11">
        <f t="shared" si="1"/>
        <v>-5</v>
      </c>
    </row>
    <row r="70">
      <c r="B70" s="5" t="s">
        <v>100</v>
      </c>
      <c r="L70" s="11">
        <f t="shared" si="1"/>
        <v>0</v>
      </c>
    </row>
    <row r="71">
      <c r="B71" s="5">
        <v>63.7</v>
      </c>
      <c r="C71" s="5">
        <v>58.0</v>
      </c>
      <c r="D71" s="5">
        <v>52.0</v>
      </c>
      <c r="E71" s="5">
        <v>56.0</v>
      </c>
      <c r="F71" s="5">
        <v>67.0</v>
      </c>
      <c r="G71" s="5">
        <v>57.0</v>
      </c>
      <c r="H71" s="5">
        <v>66.0</v>
      </c>
      <c r="I71" s="5">
        <v>68.0</v>
      </c>
      <c r="J71" s="5">
        <v>66.0</v>
      </c>
      <c r="L71" s="11">
        <f t="shared" si="1"/>
        <v>-2</v>
      </c>
    </row>
    <row r="72">
      <c r="B72" s="5" t="s">
        <v>101</v>
      </c>
      <c r="H72" s="5"/>
      <c r="I72" s="5"/>
      <c r="J72" s="5"/>
      <c r="L72" s="11">
        <f t="shared" si="1"/>
        <v>0</v>
      </c>
    </row>
    <row r="73">
      <c r="B73" s="5">
        <v>69.33</v>
      </c>
      <c r="C73" s="5">
        <v>63.0</v>
      </c>
      <c r="D73" s="5">
        <v>63.0</v>
      </c>
      <c r="E73" s="5">
        <v>63.0</v>
      </c>
      <c r="F73" s="5">
        <v>65.0</v>
      </c>
      <c r="G73" s="5">
        <v>67.0</v>
      </c>
      <c r="H73" s="5">
        <v>72.0</v>
      </c>
      <c r="I73" s="5">
        <v>72.0</v>
      </c>
      <c r="J73" s="5">
        <v>71.0</v>
      </c>
      <c r="L73" s="11">
        <f t="shared" si="1"/>
        <v>-1</v>
      </c>
    </row>
    <row r="74">
      <c r="L74" s="11">
        <f t="shared" si="1"/>
        <v>0</v>
      </c>
    </row>
    <row r="75">
      <c r="L75" s="11">
        <f t="shared" si="1"/>
        <v>0</v>
      </c>
    </row>
    <row r="76">
      <c r="A76" s="3" t="s">
        <v>102</v>
      </c>
      <c r="L76" s="11">
        <f t="shared" si="1"/>
        <v>0</v>
      </c>
    </row>
    <row r="77">
      <c r="B77" s="5" t="s">
        <v>5</v>
      </c>
      <c r="C77" s="5" t="s">
        <v>6</v>
      </c>
      <c r="D77" s="5" t="s">
        <v>7</v>
      </c>
      <c r="E77" s="5" t="s">
        <v>9</v>
      </c>
      <c r="F77" s="5" t="s">
        <v>10</v>
      </c>
      <c r="H77" s="8" t="s">
        <v>12</v>
      </c>
      <c r="I77" s="8" t="s">
        <v>13</v>
      </c>
      <c r="J77" s="8" t="s">
        <v>14</v>
      </c>
      <c r="L77" s="11" t="str">
        <f t="shared" si="1"/>
        <v>#VALUE!</v>
      </c>
    </row>
    <row r="78">
      <c r="A78" s="5" t="s">
        <v>103</v>
      </c>
      <c r="B78" s="5" t="s">
        <v>103</v>
      </c>
      <c r="C78" s="5" t="s">
        <v>103</v>
      </c>
      <c r="D78" s="5" t="s">
        <v>103</v>
      </c>
      <c r="E78" s="5"/>
      <c r="L78" s="11">
        <f t="shared" si="1"/>
        <v>0</v>
      </c>
    </row>
    <row r="79">
      <c r="B79" s="5">
        <v>31.5</v>
      </c>
      <c r="C79" s="5">
        <v>22.3</v>
      </c>
      <c r="D79" s="5">
        <v>24.9</v>
      </c>
      <c r="E79" s="5">
        <v>50.0</v>
      </c>
      <c r="F79" s="5">
        <v>53.1</v>
      </c>
      <c r="G79" s="5">
        <v>53.6</v>
      </c>
      <c r="H79" s="5">
        <v>56.3</v>
      </c>
      <c r="I79" s="5">
        <v>43.8</v>
      </c>
      <c r="J79" s="5">
        <v>59.2</v>
      </c>
      <c r="L79" s="11">
        <f t="shared" si="1"/>
        <v>15.4</v>
      </c>
    </row>
    <row r="80">
      <c r="A80" s="5" t="s">
        <v>104</v>
      </c>
      <c r="L80" s="11">
        <f t="shared" si="1"/>
        <v>0</v>
      </c>
    </row>
    <row r="81">
      <c r="L81" s="11">
        <f t="shared" si="1"/>
        <v>0</v>
      </c>
    </row>
    <row r="82">
      <c r="A82" s="5" t="s">
        <v>105</v>
      </c>
      <c r="B82" s="5" t="s">
        <v>105</v>
      </c>
      <c r="C82" s="5" t="s">
        <v>105</v>
      </c>
      <c r="D82" s="5" t="s">
        <v>105</v>
      </c>
      <c r="E82" s="5"/>
      <c r="L82" s="11">
        <f t="shared" si="1"/>
        <v>0</v>
      </c>
    </row>
    <row r="83">
      <c r="B83" s="5">
        <v>65.1</v>
      </c>
      <c r="C83" s="5">
        <v>73.2</v>
      </c>
      <c r="D83" s="5">
        <v>70.1</v>
      </c>
      <c r="E83" s="5">
        <v>43.3</v>
      </c>
      <c r="F83" s="5">
        <v>41.3</v>
      </c>
      <c r="G83" s="5">
        <v>39.1</v>
      </c>
      <c r="H83" s="5">
        <v>38.3</v>
      </c>
      <c r="I83" s="8">
        <v>51.3</v>
      </c>
      <c r="J83" s="5">
        <v>34.2</v>
      </c>
      <c r="L83" s="11">
        <f t="shared" si="1"/>
        <v>-17.1</v>
      </c>
    </row>
    <row r="84">
      <c r="A84" s="5" t="s">
        <v>106</v>
      </c>
      <c r="B84" s="5" t="s">
        <v>106</v>
      </c>
      <c r="C84" s="5" t="s">
        <v>106</v>
      </c>
      <c r="D84" s="5" t="s">
        <v>106</v>
      </c>
      <c r="E84" s="5"/>
      <c r="L84" s="11">
        <f t="shared" si="1"/>
        <v>0</v>
      </c>
    </row>
    <row r="85">
      <c r="B85" s="5">
        <v>1.4</v>
      </c>
      <c r="C85" s="5">
        <v>1.7</v>
      </c>
      <c r="D85" s="5">
        <v>2.1</v>
      </c>
      <c r="E85" s="5">
        <v>2.6</v>
      </c>
      <c r="F85" s="5">
        <v>2.5</v>
      </c>
      <c r="G85" s="5">
        <v>2.2</v>
      </c>
      <c r="H85" s="5">
        <v>2.5</v>
      </c>
      <c r="I85" s="5">
        <v>1.9</v>
      </c>
      <c r="J85" s="5">
        <v>2.5</v>
      </c>
      <c r="L85" s="11">
        <f t="shared" si="1"/>
        <v>0.6</v>
      </c>
    </row>
    <row r="86">
      <c r="A86" s="5" t="s">
        <v>107</v>
      </c>
      <c r="B86" s="5" t="s">
        <v>107</v>
      </c>
      <c r="C86" s="5" t="s">
        <v>107</v>
      </c>
      <c r="D86" s="5" t="s">
        <v>107</v>
      </c>
      <c r="E86" s="5"/>
      <c r="L86" s="11">
        <f t="shared" si="1"/>
        <v>0</v>
      </c>
    </row>
    <row r="87">
      <c r="B87" s="5">
        <v>0.7</v>
      </c>
      <c r="C87" s="5">
        <v>0.8</v>
      </c>
      <c r="D87" s="5">
        <v>1.2</v>
      </c>
      <c r="E87" s="5">
        <v>1.7</v>
      </c>
      <c r="F87" s="5">
        <v>1.1</v>
      </c>
      <c r="G87" s="5">
        <v>1.8</v>
      </c>
      <c r="H87" s="5">
        <v>1.5</v>
      </c>
      <c r="I87" s="5">
        <v>1.4</v>
      </c>
      <c r="J87" s="5">
        <v>2.0</v>
      </c>
      <c r="L87" s="11">
        <f t="shared" si="1"/>
        <v>0.6</v>
      </c>
    </row>
    <row r="88">
      <c r="A88" s="5" t="s">
        <v>109</v>
      </c>
      <c r="B88" s="5" t="s">
        <v>109</v>
      </c>
      <c r="C88" s="5" t="s">
        <v>109</v>
      </c>
      <c r="D88" s="5" t="s">
        <v>109</v>
      </c>
      <c r="E88" s="5"/>
      <c r="L88" s="11">
        <f t="shared" si="1"/>
        <v>0</v>
      </c>
    </row>
    <row r="89">
      <c r="B89" s="5">
        <v>1.0</v>
      </c>
      <c r="C89" s="5">
        <v>1.8</v>
      </c>
      <c r="D89" s="5">
        <v>1.4</v>
      </c>
      <c r="E89" s="5">
        <v>1.9</v>
      </c>
      <c r="F89" s="5">
        <v>1.8</v>
      </c>
      <c r="G89" s="5">
        <v>3.0</v>
      </c>
      <c r="H89" s="5">
        <v>1.0</v>
      </c>
      <c r="I89" s="5">
        <v>0.9</v>
      </c>
      <c r="J89" s="5">
        <v>1.7</v>
      </c>
      <c r="L89" s="11">
        <f t="shared" si="1"/>
        <v>0.8</v>
      </c>
    </row>
    <row r="92">
      <c r="A92" s="3" t="s">
        <v>111</v>
      </c>
    </row>
    <row r="93">
      <c r="A93" s="5" t="s">
        <v>5</v>
      </c>
      <c r="D93" s="5" t="s">
        <v>7</v>
      </c>
      <c r="E93" s="5"/>
      <c r="F93" s="5"/>
      <c r="G93" s="5"/>
      <c r="H93" s="15" t="s">
        <v>9</v>
      </c>
      <c r="I93" s="15"/>
      <c r="J93" s="15"/>
      <c r="K93" s="15"/>
      <c r="L93" s="14"/>
      <c r="M93" s="14" t="s">
        <v>10</v>
      </c>
      <c r="N93" s="14"/>
      <c r="O93" s="14"/>
      <c r="P93" s="14" t="s">
        <v>11</v>
      </c>
      <c r="Q93" s="14"/>
      <c r="R93" s="14"/>
      <c r="S93" s="18" t="s">
        <v>12</v>
      </c>
      <c r="V93" s="8" t="s">
        <v>13</v>
      </c>
      <c r="Y93" s="8" t="s">
        <v>14</v>
      </c>
    </row>
    <row r="94">
      <c r="A94" s="5" t="s">
        <v>30</v>
      </c>
      <c r="B94" s="5">
        <v>22.0</v>
      </c>
      <c r="D94" s="5" t="s">
        <v>30</v>
      </c>
      <c r="E94" s="5"/>
      <c r="F94" s="34">
        <v>15.403857547231913</v>
      </c>
      <c r="G94" s="34"/>
      <c r="H94" s="35" t="s">
        <v>30</v>
      </c>
      <c r="I94" s="35"/>
      <c r="J94" s="35"/>
      <c r="K94" s="36">
        <v>15.802197802197801</v>
      </c>
      <c r="L94" s="37"/>
      <c r="M94" s="14" t="s">
        <v>30</v>
      </c>
      <c r="N94" s="36">
        <v>21.7</v>
      </c>
      <c r="O94" s="37"/>
      <c r="P94" s="14" t="s">
        <v>30</v>
      </c>
      <c r="Q94" s="19">
        <v>21.9</v>
      </c>
      <c r="R94" s="14"/>
      <c r="S94" s="14" t="s">
        <v>30</v>
      </c>
      <c r="T94" s="5">
        <v>17.5</v>
      </c>
      <c r="V94" s="38" t="s">
        <v>30</v>
      </c>
      <c r="W94" s="5">
        <v>18.1</v>
      </c>
      <c r="Y94" s="38" t="s">
        <v>30</v>
      </c>
      <c r="Z94" s="5">
        <v>16.5</v>
      </c>
    </row>
    <row r="95">
      <c r="A95" s="5" t="s">
        <v>42</v>
      </c>
      <c r="B95" s="5">
        <v>14.8</v>
      </c>
      <c r="D95" s="5" t="s">
        <v>42</v>
      </c>
      <c r="E95" s="5"/>
      <c r="F95" s="34">
        <v>14.28477387927062</v>
      </c>
      <c r="G95" s="34"/>
      <c r="H95" s="35" t="s">
        <v>24</v>
      </c>
      <c r="I95" s="35"/>
      <c r="J95" s="35"/>
      <c r="K95" s="36">
        <v>15.758241758241759</v>
      </c>
      <c r="L95" s="37"/>
      <c r="M95" s="14" t="s">
        <v>24</v>
      </c>
      <c r="N95" s="36">
        <v>16.2</v>
      </c>
      <c r="O95" s="37"/>
      <c r="P95" s="14" t="s">
        <v>24</v>
      </c>
      <c r="Q95" s="19">
        <v>14.8</v>
      </c>
      <c r="R95" s="14"/>
      <c r="S95" s="14" t="s">
        <v>24</v>
      </c>
      <c r="T95" s="5">
        <v>13.6</v>
      </c>
      <c r="V95" s="38" t="s">
        <v>24</v>
      </c>
      <c r="W95" s="5">
        <v>12.8</v>
      </c>
      <c r="Y95" s="38" t="s">
        <v>33</v>
      </c>
      <c r="Z95" s="5">
        <v>12.0</v>
      </c>
    </row>
    <row r="96">
      <c r="A96" s="5" t="s">
        <v>47</v>
      </c>
      <c r="B96" s="5">
        <v>8.7</v>
      </c>
      <c r="D96" s="5" t="s">
        <v>24</v>
      </c>
      <c r="E96" s="5"/>
      <c r="F96" s="34">
        <v>10.683957606477518</v>
      </c>
      <c r="G96" s="34"/>
      <c r="H96" s="35" t="s">
        <v>42</v>
      </c>
      <c r="I96" s="35"/>
      <c r="J96" s="35"/>
      <c r="K96" s="36">
        <v>12.494505494505495</v>
      </c>
      <c r="L96" s="37"/>
      <c r="M96" s="14" t="s">
        <v>42</v>
      </c>
      <c r="N96" s="36">
        <v>11.2</v>
      </c>
      <c r="O96" s="37"/>
      <c r="P96" s="14" t="s">
        <v>42</v>
      </c>
      <c r="Q96" s="19">
        <v>12.5</v>
      </c>
      <c r="R96" s="14"/>
      <c r="S96" s="14" t="s">
        <v>42</v>
      </c>
      <c r="T96" s="5">
        <v>13.5</v>
      </c>
      <c r="V96" s="38" t="s">
        <v>42</v>
      </c>
      <c r="W96" s="5">
        <v>12.4</v>
      </c>
      <c r="Y96" s="38" t="s">
        <v>24</v>
      </c>
      <c r="Z96" s="5">
        <v>11.8</v>
      </c>
    </row>
    <row r="97">
      <c r="A97" s="5" t="s">
        <v>33</v>
      </c>
      <c r="B97" s="5">
        <v>8.0</v>
      </c>
      <c r="D97" s="5" t="s">
        <v>47</v>
      </c>
      <c r="E97" s="5"/>
      <c r="F97" s="34">
        <v>8.932920808373378</v>
      </c>
      <c r="G97" s="34"/>
      <c r="H97" s="35" t="s">
        <v>47</v>
      </c>
      <c r="I97" s="35"/>
      <c r="J97" s="35"/>
      <c r="K97" s="36">
        <v>9.681318681318682</v>
      </c>
      <c r="L97" s="37"/>
      <c r="M97" s="14" t="s">
        <v>47</v>
      </c>
      <c r="N97" s="36">
        <v>9.5</v>
      </c>
      <c r="O97" s="37"/>
      <c r="P97" s="14" t="s">
        <v>47</v>
      </c>
      <c r="Q97" s="19">
        <v>9.1</v>
      </c>
      <c r="R97" s="14"/>
      <c r="S97" s="14" t="s">
        <v>33</v>
      </c>
      <c r="T97" s="5">
        <v>8.8</v>
      </c>
      <c r="V97" s="38" t="s">
        <v>33</v>
      </c>
      <c r="W97" s="5">
        <v>11.8</v>
      </c>
      <c r="Y97" s="38" t="s">
        <v>42</v>
      </c>
      <c r="Z97" s="5">
        <v>11.2</v>
      </c>
    </row>
    <row r="98">
      <c r="A98" s="5" t="s">
        <v>24</v>
      </c>
      <c r="B98" s="5">
        <v>7.8</v>
      </c>
      <c r="D98" s="5" t="s">
        <v>112</v>
      </c>
      <c r="E98" s="5"/>
      <c r="F98" s="34">
        <v>8.182476466328747</v>
      </c>
      <c r="G98" s="34"/>
      <c r="H98" s="35" t="s">
        <v>40</v>
      </c>
      <c r="I98" s="35"/>
      <c r="J98" s="35"/>
      <c r="K98" s="36">
        <v>7.417582417582418</v>
      </c>
      <c r="L98" s="37"/>
      <c r="M98" s="14" t="s">
        <v>40</v>
      </c>
      <c r="N98" s="36">
        <v>7.3</v>
      </c>
      <c r="O98" s="37"/>
      <c r="P98" s="14" t="s">
        <v>40</v>
      </c>
      <c r="Q98" s="19">
        <v>7.5</v>
      </c>
      <c r="R98" s="14"/>
      <c r="S98" s="14" t="s">
        <v>47</v>
      </c>
      <c r="T98" s="5">
        <v>8.2</v>
      </c>
      <c r="V98" s="38" t="s">
        <v>47</v>
      </c>
      <c r="W98" s="5">
        <v>7.6</v>
      </c>
      <c r="Y98" s="38" t="s">
        <v>47</v>
      </c>
      <c r="Z98" s="5">
        <v>9.2</v>
      </c>
    </row>
    <row r="99">
      <c r="A99" s="5" t="s">
        <v>53</v>
      </c>
      <c r="B99" s="5">
        <v>6.5</v>
      </c>
      <c r="D99" s="5" t="s">
        <v>33</v>
      </c>
      <c r="E99" s="5"/>
      <c r="F99" s="34">
        <v>6.3721940622737145</v>
      </c>
      <c r="G99" s="34"/>
      <c r="H99" s="35" t="s">
        <v>33</v>
      </c>
      <c r="I99" s="35"/>
      <c r="J99" s="35"/>
      <c r="K99" s="36">
        <v>5.120879120879121</v>
      </c>
      <c r="L99" s="37"/>
      <c r="M99" s="14" t="s">
        <v>57</v>
      </c>
      <c r="N99" s="36">
        <v>4.7</v>
      </c>
      <c r="O99" s="37"/>
      <c r="P99" s="14" t="s">
        <v>57</v>
      </c>
      <c r="Q99" s="19">
        <v>4.6</v>
      </c>
      <c r="R99" s="14"/>
      <c r="S99" s="14" t="s">
        <v>40</v>
      </c>
      <c r="T99" s="5">
        <v>7.4</v>
      </c>
      <c r="V99" s="38" t="s">
        <v>40</v>
      </c>
      <c r="W99" s="5">
        <v>5.4</v>
      </c>
      <c r="Y99" s="38" t="s">
        <v>57</v>
      </c>
      <c r="Z99" s="5">
        <v>5.0</v>
      </c>
    </row>
    <row r="100">
      <c r="A100" s="5" t="s">
        <v>112</v>
      </c>
      <c r="B100" s="5">
        <v>5.8</v>
      </c>
      <c r="D100" s="5" t="s">
        <v>40</v>
      </c>
      <c r="E100" s="5"/>
      <c r="F100" s="34">
        <v>5.516424198538608</v>
      </c>
      <c r="G100" s="34"/>
      <c r="H100" s="35" t="s">
        <v>112</v>
      </c>
      <c r="I100" s="35"/>
      <c r="J100" s="35"/>
      <c r="K100" s="36">
        <v>4.9120879120879115</v>
      </c>
      <c r="L100" s="37"/>
      <c r="M100" s="14" t="s">
        <v>112</v>
      </c>
      <c r="N100" s="36">
        <v>4.6</v>
      </c>
      <c r="O100" s="37"/>
      <c r="P100" s="14" t="s">
        <v>112</v>
      </c>
      <c r="Q100" s="19">
        <v>4.6</v>
      </c>
      <c r="R100" s="14"/>
      <c r="S100" s="14" t="s">
        <v>57</v>
      </c>
      <c r="T100" s="5">
        <v>4.4</v>
      </c>
      <c r="V100" s="38" t="s">
        <v>57</v>
      </c>
      <c r="W100" s="5">
        <v>5.1</v>
      </c>
      <c r="Y100" s="38" t="s">
        <v>112</v>
      </c>
      <c r="Z100" s="5">
        <v>4.8</v>
      </c>
    </row>
    <row r="101">
      <c r="A101" s="5" t="s">
        <v>40</v>
      </c>
      <c r="B101" s="5">
        <v>5.6</v>
      </c>
      <c r="D101" s="5" t="s">
        <v>53</v>
      </c>
      <c r="E101" s="5"/>
      <c r="F101" s="34">
        <v>5.1543677177276015</v>
      </c>
      <c r="G101" s="34"/>
      <c r="H101" s="35" t="s">
        <v>57</v>
      </c>
      <c r="I101" s="35"/>
      <c r="J101" s="35"/>
      <c r="K101" s="36">
        <v>4.1098901098901095</v>
      </c>
      <c r="L101" s="37"/>
      <c r="M101" s="14" t="s">
        <v>33</v>
      </c>
      <c r="N101" s="36">
        <v>3.9</v>
      </c>
      <c r="O101" s="37"/>
      <c r="P101" s="14" t="s">
        <v>33</v>
      </c>
      <c r="Q101" s="19">
        <v>3.8</v>
      </c>
      <c r="R101" s="14"/>
      <c r="S101" s="14" t="s">
        <v>112</v>
      </c>
      <c r="T101" s="5">
        <v>4.0</v>
      </c>
      <c r="V101" s="38" t="s">
        <v>112</v>
      </c>
      <c r="W101" s="5">
        <v>3.4</v>
      </c>
      <c r="Y101" s="38" t="s">
        <v>40</v>
      </c>
      <c r="Z101" s="5">
        <v>4.3</v>
      </c>
    </row>
    <row r="102">
      <c r="A102" s="5" t="s">
        <v>57</v>
      </c>
      <c r="B102" s="5">
        <v>2.9</v>
      </c>
      <c r="D102" s="5" t="s">
        <v>45</v>
      </c>
      <c r="E102" s="5"/>
      <c r="F102" s="34">
        <v>4.390757685471661</v>
      </c>
      <c r="G102" s="34"/>
      <c r="H102" s="35" t="s">
        <v>45</v>
      </c>
      <c r="I102" s="35"/>
      <c r="J102" s="35"/>
      <c r="K102" s="36">
        <v>4.032967032967033</v>
      </c>
      <c r="L102" s="37"/>
      <c r="M102" s="14" t="s">
        <v>53</v>
      </c>
      <c r="N102" s="36">
        <v>3.0</v>
      </c>
      <c r="O102" s="37"/>
      <c r="P102" s="14" t="s">
        <v>45</v>
      </c>
      <c r="Q102" s="19">
        <v>2.9</v>
      </c>
      <c r="R102" s="14"/>
      <c r="S102" s="14" t="s">
        <v>51</v>
      </c>
      <c r="T102" s="5">
        <v>3.5</v>
      </c>
      <c r="V102" s="38" t="s">
        <v>55</v>
      </c>
      <c r="W102" s="5">
        <v>2.9</v>
      </c>
      <c r="Y102" s="38" t="s">
        <v>55</v>
      </c>
      <c r="Z102" s="5">
        <v>2.9</v>
      </c>
    </row>
    <row r="103">
      <c r="A103" s="5" t="s">
        <v>45</v>
      </c>
      <c r="B103" s="5">
        <v>2.8</v>
      </c>
      <c r="D103" s="15" t="s">
        <v>51</v>
      </c>
      <c r="E103" s="15"/>
      <c r="F103" s="39">
        <v>3.686393259166612</v>
      </c>
      <c r="G103" s="39"/>
      <c r="H103" s="35" t="s">
        <v>51</v>
      </c>
      <c r="I103" s="35"/>
      <c r="J103" s="35"/>
      <c r="K103" s="36">
        <v>3.4065934065934065</v>
      </c>
      <c r="L103" s="37"/>
      <c r="M103" s="14" t="s">
        <v>51</v>
      </c>
      <c r="N103" s="36">
        <v>2.9</v>
      </c>
      <c r="O103" s="37"/>
      <c r="P103" s="14" t="s">
        <v>53</v>
      </c>
      <c r="Q103" s="19">
        <v>2.7</v>
      </c>
      <c r="R103" s="14"/>
      <c r="S103" s="14" t="s">
        <v>45</v>
      </c>
      <c r="T103" s="5">
        <v>2.6</v>
      </c>
      <c r="V103" s="38" t="s">
        <v>51</v>
      </c>
      <c r="W103" s="5">
        <v>2.9</v>
      </c>
      <c r="Y103" s="38" t="s">
        <v>51</v>
      </c>
      <c r="Z103" s="5">
        <v>2.9</v>
      </c>
    </row>
    <row r="104">
      <c r="A104" s="5" t="s">
        <v>113</v>
      </c>
      <c r="B104" s="11">
        <f>100-SUM(B94:B103)</f>
        <v>15.1</v>
      </c>
      <c r="D104" s="5" t="s">
        <v>113</v>
      </c>
      <c r="E104" s="5"/>
      <c r="F104" s="34">
        <f>100-SUM(F94:F103)</f>
        <v>17.39187677</v>
      </c>
      <c r="G104" s="34"/>
      <c r="H104" s="35" t="s">
        <v>113</v>
      </c>
      <c r="I104" s="35"/>
      <c r="J104" s="35"/>
      <c r="K104" s="36">
        <f>100-SUM(K94:K103)</f>
        <v>17.26373626</v>
      </c>
      <c r="L104" s="14"/>
      <c r="M104" s="14" t="s">
        <v>113</v>
      </c>
      <c r="N104" s="36">
        <f>100-SUM(N94:N103)</f>
        <v>15</v>
      </c>
      <c r="O104" s="14"/>
      <c r="P104" s="14" t="s">
        <v>113</v>
      </c>
      <c r="Q104" s="19">
        <f>100-SUM(Q94:Q103)</f>
        <v>15.6</v>
      </c>
      <c r="R104" s="14"/>
      <c r="S104" s="16" t="s">
        <v>113</v>
      </c>
      <c r="T104" s="11">
        <f>100 - SUM(T94:T103)</f>
        <v>16.5</v>
      </c>
      <c r="V104" s="5" t="s">
        <v>113</v>
      </c>
      <c r="W104" s="11">
        <f>100-SUM(W94:W103)</f>
        <v>17.6</v>
      </c>
      <c r="Y104" s="5" t="s">
        <v>113</v>
      </c>
      <c r="Z104" s="11">
        <f>100-SUM(Z94:Z103)</f>
        <v>19.4</v>
      </c>
    </row>
    <row r="108">
      <c r="A108" s="3" t="s">
        <v>127</v>
      </c>
    </row>
    <row r="109">
      <c r="A109" s="5" t="s">
        <v>5</v>
      </c>
      <c r="B109" s="40">
        <v>0.305</v>
      </c>
    </row>
    <row r="110">
      <c r="A110" s="5" t="s">
        <v>6</v>
      </c>
      <c r="B110" s="41">
        <v>0.22</v>
      </c>
    </row>
    <row r="111">
      <c r="A111" s="5" t="s">
        <v>7</v>
      </c>
      <c r="B111" s="41">
        <v>0.25</v>
      </c>
    </row>
    <row r="112">
      <c r="A112" s="5" t="s">
        <v>9</v>
      </c>
      <c r="B112" s="41">
        <v>0.19</v>
      </c>
    </row>
    <row r="113">
      <c r="A113" s="5" t="s">
        <v>119</v>
      </c>
      <c r="B113" s="21">
        <v>0.16</v>
      </c>
    </row>
    <row r="114">
      <c r="A114" s="5" t="s">
        <v>120</v>
      </c>
      <c r="B114" s="21">
        <v>0.16</v>
      </c>
    </row>
    <row r="115">
      <c r="A115" s="5" t="s">
        <v>12</v>
      </c>
      <c r="B115" s="21">
        <v>0.18</v>
      </c>
    </row>
    <row r="116">
      <c r="A116" s="8" t="s">
        <v>13</v>
      </c>
      <c r="B116" s="21">
        <v>0.18</v>
      </c>
    </row>
    <row r="117">
      <c r="A117" s="8" t="s">
        <v>14</v>
      </c>
      <c r="B117" s="21">
        <v>0.14</v>
      </c>
    </row>
    <row r="118">
      <c r="B118" s="40"/>
    </row>
    <row r="121">
      <c r="A121" s="3" t="s">
        <v>128</v>
      </c>
    </row>
    <row r="122">
      <c r="A122" s="5" t="s">
        <v>5</v>
      </c>
      <c r="B122" s="5" t="s">
        <v>129</v>
      </c>
      <c r="C122" s="5" t="s">
        <v>7</v>
      </c>
      <c r="D122" s="5" t="s">
        <v>9</v>
      </c>
      <c r="E122" s="5" t="s">
        <v>10</v>
      </c>
      <c r="F122" s="5" t="s">
        <v>11</v>
      </c>
      <c r="G122" s="8" t="s">
        <v>12</v>
      </c>
      <c r="H122" s="8" t="s">
        <v>13</v>
      </c>
      <c r="I122" s="8" t="s">
        <v>14</v>
      </c>
    </row>
    <row r="123">
      <c r="A123" s="16" t="s">
        <v>130</v>
      </c>
      <c r="B123" s="42" t="s">
        <v>130</v>
      </c>
      <c r="C123" s="42" t="s">
        <v>130</v>
      </c>
    </row>
    <row r="124">
      <c r="A124" s="5">
        <v>35973.0</v>
      </c>
      <c r="B124" s="5">
        <v>45423.0</v>
      </c>
      <c r="C124" s="5">
        <v>35877.0</v>
      </c>
      <c r="D124" s="5">
        <v>42251.0</v>
      </c>
      <c r="E124" s="5">
        <v>35780.0</v>
      </c>
      <c r="F124" s="5">
        <v>37312.0</v>
      </c>
      <c r="G124" s="5">
        <v>37350.0</v>
      </c>
      <c r="H124" s="5">
        <v>40570.0</v>
      </c>
      <c r="I124" s="5">
        <v>36770.0</v>
      </c>
    </row>
    <row r="125">
      <c r="A125" s="37" t="s">
        <v>68</v>
      </c>
      <c r="B125" s="37" t="s">
        <v>68</v>
      </c>
      <c r="C125" s="37" t="s">
        <v>68</v>
      </c>
    </row>
    <row r="126">
      <c r="A126" s="5">
        <v>35973.0</v>
      </c>
      <c r="B126" s="5">
        <v>35973.0</v>
      </c>
      <c r="C126" s="5">
        <v>35965.0</v>
      </c>
      <c r="D126" s="5">
        <v>36407.0</v>
      </c>
      <c r="E126" s="5">
        <v>35955.0</v>
      </c>
      <c r="F126" s="5">
        <v>38244.0</v>
      </c>
      <c r="G126" s="5">
        <v>37180.0</v>
      </c>
      <c r="H126" s="5">
        <v>35970.0</v>
      </c>
      <c r="I126" s="5">
        <v>35970.0</v>
      </c>
    </row>
    <row r="127">
      <c r="A127" s="37" t="s">
        <v>73</v>
      </c>
      <c r="B127" s="37" t="s">
        <v>73</v>
      </c>
      <c r="C127" s="37" t="s">
        <v>73</v>
      </c>
    </row>
    <row r="128">
      <c r="A128" s="5">
        <v>39848.0</v>
      </c>
      <c r="B128" s="5">
        <v>36731.0</v>
      </c>
      <c r="C128" s="5">
        <v>36407.0</v>
      </c>
      <c r="D128" s="5">
        <v>42968.0</v>
      </c>
      <c r="E128" s="5">
        <v>45685.0</v>
      </c>
      <c r="F128" s="5">
        <v>43281.0</v>
      </c>
      <c r="G128" s="5">
        <v>42910.0</v>
      </c>
      <c r="H128" s="5">
        <v>43760.0</v>
      </c>
      <c r="I128" s="5">
        <v>46550.0</v>
      </c>
    </row>
    <row r="129">
      <c r="A129" s="5" t="s">
        <v>76</v>
      </c>
      <c r="B129" s="5" t="s">
        <v>76</v>
      </c>
      <c r="C129" s="5" t="s">
        <v>76</v>
      </c>
    </row>
    <row r="130">
      <c r="A130" s="5">
        <v>48379.0</v>
      </c>
      <c r="B130" s="5">
        <v>44780.0</v>
      </c>
      <c r="C130" s="5">
        <v>43938.0</v>
      </c>
      <c r="D130" s="5">
        <v>53656.0</v>
      </c>
      <c r="E130" s="5">
        <v>52577.0</v>
      </c>
      <c r="F130" s="5">
        <v>55001.0</v>
      </c>
      <c r="G130" s="5">
        <v>56770.0</v>
      </c>
      <c r="H130" s="5">
        <v>51110.0</v>
      </c>
      <c r="I130" s="5">
        <v>52870.0</v>
      </c>
    </row>
    <row r="131">
      <c r="A131" s="37" t="s">
        <v>79</v>
      </c>
      <c r="B131" s="37" t="s">
        <v>79</v>
      </c>
      <c r="C131" s="37" t="s">
        <v>79</v>
      </c>
    </row>
    <row r="132">
      <c r="A132" s="5">
        <v>54265.0</v>
      </c>
      <c r="B132" s="5">
        <v>50570.0</v>
      </c>
      <c r="C132" s="5">
        <v>52167.0</v>
      </c>
      <c r="D132" s="5">
        <v>58348.0</v>
      </c>
      <c r="E132" s="5">
        <v>65082.0</v>
      </c>
      <c r="F132" s="5">
        <v>65108.0</v>
      </c>
      <c r="G132" s="5">
        <v>68160.0</v>
      </c>
      <c r="H132" s="5">
        <v>58960.0</v>
      </c>
      <c r="I132" s="5">
        <v>59950.0</v>
      </c>
    </row>
    <row r="133">
      <c r="A133" s="37" t="s">
        <v>82</v>
      </c>
      <c r="B133" s="37" t="s">
        <v>82</v>
      </c>
      <c r="C133" s="37" t="s">
        <v>82</v>
      </c>
    </row>
    <row r="134">
      <c r="A134" s="5">
        <v>64499.0</v>
      </c>
      <c r="B134" s="5">
        <v>64670.0</v>
      </c>
      <c r="C134" s="5">
        <v>64478.0</v>
      </c>
      <c r="D134" s="5">
        <v>71946.0</v>
      </c>
      <c r="E134" s="5">
        <v>72048.0</v>
      </c>
      <c r="F134" s="5">
        <v>71946.0</v>
      </c>
      <c r="G134" s="5">
        <v>71950.0</v>
      </c>
      <c r="H134" s="5">
        <v>71900.0</v>
      </c>
      <c r="I134" s="5">
        <v>71950.0</v>
      </c>
    </row>
    <row r="135">
      <c r="A135" s="5" t="s">
        <v>133</v>
      </c>
      <c r="B135" s="5" t="s">
        <v>133</v>
      </c>
      <c r="C135" s="5" t="s">
        <v>133</v>
      </c>
    </row>
    <row r="136">
      <c r="A136" s="5">
        <v>71946.0</v>
      </c>
      <c r="B136" s="5">
        <v>72840.0</v>
      </c>
      <c r="C136" s="5">
        <v>74784.0</v>
      </c>
      <c r="D136" s="5">
        <v>135352.0</v>
      </c>
      <c r="E136" s="5">
        <v>144796.0</v>
      </c>
      <c r="F136" s="5">
        <v>159063.0</v>
      </c>
      <c r="G136" s="5">
        <v>135930.0</v>
      </c>
      <c r="H136" s="5">
        <v>111160.0</v>
      </c>
      <c r="I136" s="5">
        <v>124950.0</v>
      </c>
    </row>
    <row r="138">
      <c r="A138" s="43" t="s">
        <v>134</v>
      </c>
      <c r="C138" s="5" t="s">
        <v>136</v>
      </c>
    </row>
    <row r="139">
      <c r="B139" s="5" t="s">
        <v>5</v>
      </c>
      <c r="C139" s="5" t="s">
        <v>129</v>
      </c>
      <c r="D139" s="5" t="s">
        <v>7</v>
      </c>
      <c r="E139" s="5" t="s">
        <v>9</v>
      </c>
      <c r="F139" s="5" t="s">
        <v>10</v>
      </c>
      <c r="H139" s="8"/>
      <c r="I139" s="8"/>
      <c r="J139" s="8"/>
    </row>
    <row r="140">
      <c r="A140" s="44" t="s">
        <v>137</v>
      </c>
      <c r="B140" s="45"/>
    </row>
    <row r="141">
      <c r="A141" s="44" t="s">
        <v>138</v>
      </c>
      <c r="B141" s="45"/>
    </row>
    <row r="142">
      <c r="A142" s="44" t="s">
        <v>139</v>
      </c>
      <c r="B142" s="45"/>
    </row>
    <row r="143">
      <c r="A143" s="5" t="s">
        <v>140</v>
      </c>
      <c r="B143" s="5">
        <v>14.5</v>
      </c>
      <c r="C143" s="5">
        <v>16.9</v>
      </c>
      <c r="D143" s="5">
        <v>15.3</v>
      </c>
      <c r="E143" s="5">
        <v>18.0</v>
      </c>
      <c r="F143" s="5">
        <v>17.0</v>
      </c>
    </row>
    <row r="145">
      <c r="A145" s="3" t="s">
        <v>141</v>
      </c>
      <c r="B145" s="46"/>
    </row>
    <row r="146">
      <c r="A146" s="5" t="s">
        <v>5</v>
      </c>
      <c r="D146" s="5" t="s">
        <v>6</v>
      </c>
      <c r="E146" s="5"/>
      <c r="H146" s="14" t="s">
        <v>7</v>
      </c>
      <c r="I146" s="14"/>
      <c r="J146" s="14"/>
      <c r="K146" s="14"/>
      <c r="L146" s="14"/>
      <c r="M146" s="14" t="s">
        <v>9</v>
      </c>
      <c r="N146" s="14"/>
      <c r="O146" s="14"/>
      <c r="P146" s="15" t="s">
        <v>10</v>
      </c>
      <c r="Q146" s="14"/>
      <c r="R146" s="14"/>
      <c r="S146" s="15" t="s">
        <v>11</v>
      </c>
      <c r="T146" s="15"/>
      <c r="V146" s="8" t="s">
        <v>12</v>
      </c>
      <c r="Y146" s="8" t="s">
        <v>13</v>
      </c>
      <c r="AB146" s="8" t="s">
        <v>14</v>
      </c>
    </row>
    <row r="147">
      <c r="A147" s="5" t="s">
        <v>24</v>
      </c>
      <c r="B147" s="5">
        <v>47.81</v>
      </c>
      <c r="D147" s="5" t="s">
        <v>47</v>
      </c>
      <c r="E147" s="5"/>
      <c r="F147" s="41">
        <v>0.47</v>
      </c>
      <c r="G147" s="41"/>
      <c r="H147" s="48" t="s">
        <v>40</v>
      </c>
      <c r="I147" s="48"/>
      <c r="J147" s="48"/>
      <c r="K147" s="49">
        <v>0.47</v>
      </c>
      <c r="L147" s="14"/>
      <c r="M147" s="14" t="s">
        <v>40</v>
      </c>
      <c r="N147" s="49">
        <v>0.44</v>
      </c>
      <c r="O147" s="48"/>
      <c r="P147" s="14" t="s">
        <v>47</v>
      </c>
      <c r="Q147" s="49">
        <v>0.42</v>
      </c>
      <c r="R147" s="48"/>
      <c r="S147" s="14" t="s">
        <v>47</v>
      </c>
      <c r="T147" s="49">
        <v>0.45</v>
      </c>
      <c r="V147" s="5" t="s">
        <v>33</v>
      </c>
      <c r="W147" s="41">
        <v>0.51</v>
      </c>
      <c r="X147" s="41"/>
      <c r="Y147" s="38" t="s">
        <v>40</v>
      </c>
      <c r="Z147" s="41">
        <v>0.52</v>
      </c>
      <c r="AA147" s="41"/>
      <c r="AB147" s="5" t="s">
        <v>47</v>
      </c>
      <c r="AC147" s="41">
        <v>0.48</v>
      </c>
      <c r="AD147" s="41"/>
    </row>
    <row r="148">
      <c r="A148" s="5" t="s">
        <v>42</v>
      </c>
      <c r="B148" s="5">
        <v>46.55</v>
      </c>
      <c r="D148" s="5" t="s">
        <v>40</v>
      </c>
      <c r="E148" s="5"/>
      <c r="F148" s="41">
        <v>0.46</v>
      </c>
      <c r="G148" s="41"/>
      <c r="H148" s="48" t="s">
        <v>42</v>
      </c>
      <c r="I148" s="48"/>
      <c r="J148" s="48"/>
      <c r="K148" s="49">
        <v>0.39</v>
      </c>
      <c r="L148" s="14"/>
      <c r="M148" s="14" t="s">
        <v>45</v>
      </c>
      <c r="N148" s="49">
        <v>0.44</v>
      </c>
      <c r="O148" s="48"/>
      <c r="P148" s="14" t="s">
        <v>40</v>
      </c>
      <c r="Q148" s="49">
        <v>0.42</v>
      </c>
      <c r="R148" s="48"/>
      <c r="S148" s="14" t="s">
        <v>40</v>
      </c>
      <c r="T148" s="49">
        <v>0.42</v>
      </c>
      <c r="V148" s="5" t="s">
        <v>47</v>
      </c>
      <c r="W148" s="41">
        <v>0.47</v>
      </c>
      <c r="X148" s="41"/>
      <c r="Y148" s="38" t="s">
        <v>33</v>
      </c>
      <c r="Z148" s="41">
        <v>0.51</v>
      </c>
      <c r="AA148" s="41"/>
      <c r="AB148" s="5" t="s">
        <v>42</v>
      </c>
      <c r="AC148" s="41">
        <v>0.47</v>
      </c>
      <c r="AD148" s="41"/>
    </row>
    <row r="149">
      <c r="A149" s="5" t="s">
        <v>47</v>
      </c>
      <c r="B149" s="5">
        <v>45.53</v>
      </c>
      <c r="D149" s="5" t="s">
        <v>42</v>
      </c>
      <c r="E149" s="5"/>
      <c r="F149" s="41">
        <v>0.43</v>
      </c>
      <c r="G149" s="41"/>
      <c r="H149" s="48" t="s">
        <v>24</v>
      </c>
      <c r="I149" s="48"/>
      <c r="J149" s="48"/>
      <c r="K149" s="49">
        <v>0.38</v>
      </c>
      <c r="L149" s="14"/>
      <c r="M149" s="14" t="s">
        <v>42</v>
      </c>
      <c r="N149" s="49">
        <v>0.39</v>
      </c>
      <c r="O149" s="48"/>
      <c r="P149" s="14" t="s">
        <v>24</v>
      </c>
      <c r="Q149" s="49">
        <v>0.4</v>
      </c>
      <c r="R149" s="48"/>
      <c r="S149" s="14" t="s">
        <v>24</v>
      </c>
      <c r="T149" s="49">
        <v>0.4</v>
      </c>
      <c r="V149" s="5" t="s">
        <v>40</v>
      </c>
      <c r="W149" s="41">
        <v>0.47</v>
      </c>
      <c r="X149" s="41"/>
      <c r="Y149" s="38" t="s">
        <v>42</v>
      </c>
      <c r="Z149" s="41">
        <v>0.45</v>
      </c>
      <c r="AA149" s="41"/>
      <c r="AB149" s="5" t="s">
        <v>40</v>
      </c>
      <c r="AC149" s="41">
        <v>0.42</v>
      </c>
      <c r="AD149" s="41"/>
    </row>
    <row r="150">
      <c r="A150" s="5" t="s">
        <v>40</v>
      </c>
      <c r="B150" s="5">
        <v>44.77</v>
      </c>
      <c r="D150" s="5" t="s">
        <v>45</v>
      </c>
      <c r="E150" s="5"/>
      <c r="F150" s="41">
        <v>0.37</v>
      </c>
      <c r="G150" s="41"/>
      <c r="H150" s="48" t="s">
        <v>45</v>
      </c>
      <c r="I150" s="48"/>
      <c r="J150" s="48"/>
      <c r="K150" s="49">
        <v>0.36</v>
      </c>
      <c r="L150" s="14"/>
      <c r="M150" s="14" t="s">
        <v>47</v>
      </c>
      <c r="N150" s="49">
        <v>0.39</v>
      </c>
      <c r="O150" s="48"/>
      <c r="P150" s="14" t="s">
        <v>42</v>
      </c>
      <c r="Q150" s="49">
        <v>0.39</v>
      </c>
      <c r="R150" s="48"/>
      <c r="S150" s="14" t="s">
        <v>57</v>
      </c>
      <c r="T150" s="49">
        <v>0.4</v>
      </c>
      <c r="V150" s="5" t="s">
        <v>55</v>
      </c>
      <c r="W150" s="41">
        <v>0.43</v>
      </c>
      <c r="X150" s="41"/>
      <c r="Y150" s="38" t="s">
        <v>24</v>
      </c>
      <c r="Z150" s="41">
        <v>0.42</v>
      </c>
      <c r="AA150" s="41"/>
      <c r="AB150" s="5" t="s">
        <v>24</v>
      </c>
      <c r="AC150" s="41">
        <v>0.41</v>
      </c>
      <c r="AD150" s="41"/>
    </row>
    <row r="151">
      <c r="A151" s="5" t="s">
        <v>45</v>
      </c>
      <c r="B151" s="5">
        <v>40.09</v>
      </c>
      <c r="D151" s="5" t="s">
        <v>112</v>
      </c>
      <c r="E151" s="5"/>
      <c r="F151" s="41">
        <v>0.34</v>
      </c>
      <c r="G151" s="41"/>
      <c r="H151" s="48" t="s">
        <v>112</v>
      </c>
      <c r="I151" s="48"/>
      <c r="J151" s="48"/>
      <c r="K151" s="49">
        <v>0.33</v>
      </c>
      <c r="L151" s="14"/>
      <c r="M151" s="14" t="s">
        <v>24</v>
      </c>
      <c r="N151" s="49">
        <v>0.37</v>
      </c>
      <c r="O151" s="48"/>
      <c r="P151" s="14" t="s">
        <v>55</v>
      </c>
      <c r="Q151" s="49">
        <v>0.38</v>
      </c>
      <c r="R151" s="48"/>
      <c r="S151" s="14" t="s">
        <v>42</v>
      </c>
      <c r="T151" s="49">
        <v>0.38</v>
      </c>
      <c r="V151" s="5" t="s">
        <v>42</v>
      </c>
      <c r="W151" s="41">
        <v>0.42</v>
      </c>
      <c r="X151" s="41"/>
      <c r="Y151" s="38" t="s">
        <v>47</v>
      </c>
      <c r="Z151" s="41">
        <v>0.41</v>
      </c>
      <c r="AA151" s="41"/>
      <c r="AB151" s="5" t="s">
        <v>55</v>
      </c>
      <c r="AC151" s="41">
        <v>0.41</v>
      </c>
      <c r="AD151" s="41"/>
    </row>
    <row r="152">
      <c r="A152" s="5" t="s">
        <v>112</v>
      </c>
      <c r="B152" s="5">
        <v>39.52</v>
      </c>
      <c r="D152" s="5" t="s">
        <v>24</v>
      </c>
      <c r="E152" s="5"/>
      <c r="F152" s="41">
        <v>0.32</v>
      </c>
      <c r="G152" s="41"/>
      <c r="H152" s="48" t="s">
        <v>142</v>
      </c>
      <c r="I152" s="48"/>
      <c r="J152" s="48"/>
      <c r="K152" s="49">
        <v>0.32</v>
      </c>
      <c r="L152" s="14"/>
      <c r="M152" s="14" t="s">
        <v>57</v>
      </c>
      <c r="N152" s="49">
        <v>0.35</v>
      </c>
      <c r="O152" s="48"/>
      <c r="P152" s="14" t="s">
        <v>57</v>
      </c>
      <c r="Q152" s="49">
        <v>0.37</v>
      </c>
      <c r="R152" s="48"/>
      <c r="S152" s="14" t="s">
        <v>45</v>
      </c>
      <c r="T152" s="49">
        <v>0.38</v>
      </c>
      <c r="V152" s="5" t="s">
        <v>24</v>
      </c>
      <c r="W152" s="41">
        <v>0.4</v>
      </c>
      <c r="X152" s="41"/>
      <c r="Y152" s="38" t="s">
        <v>55</v>
      </c>
      <c r="Z152" s="41">
        <v>0.36</v>
      </c>
      <c r="AA152" s="41"/>
      <c r="AB152" s="5" t="s">
        <v>30</v>
      </c>
      <c r="AC152" s="41">
        <v>0.35</v>
      </c>
      <c r="AD152" s="41"/>
    </row>
    <row r="153">
      <c r="A153" s="5" t="s">
        <v>30</v>
      </c>
      <c r="B153" s="5">
        <v>35.9</v>
      </c>
      <c r="D153" s="5" t="s">
        <v>53</v>
      </c>
      <c r="E153" s="5"/>
      <c r="F153" s="41">
        <v>0.3</v>
      </c>
      <c r="G153" s="41"/>
      <c r="H153" s="48" t="s">
        <v>51</v>
      </c>
      <c r="I153" s="48"/>
      <c r="J153" s="48"/>
      <c r="K153" s="49">
        <v>0.26</v>
      </c>
      <c r="L153" s="14"/>
      <c r="M153" s="14" t="s">
        <v>112</v>
      </c>
      <c r="N153" s="49">
        <v>0.27</v>
      </c>
      <c r="O153" s="48"/>
      <c r="P153" s="14" t="s">
        <v>45</v>
      </c>
      <c r="Q153" s="49">
        <v>0.35</v>
      </c>
      <c r="R153" s="48"/>
      <c r="S153" s="14" t="s">
        <v>33</v>
      </c>
      <c r="T153" s="49">
        <v>0.36</v>
      </c>
      <c r="V153" s="5" t="s">
        <v>30</v>
      </c>
      <c r="W153" s="41">
        <v>0.35</v>
      </c>
      <c r="X153" s="41"/>
      <c r="Y153" s="38" t="s">
        <v>30</v>
      </c>
      <c r="Z153" s="41">
        <v>0.33</v>
      </c>
      <c r="AA153" s="41"/>
      <c r="AB153" s="5" t="s">
        <v>45</v>
      </c>
      <c r="AC153" s="41">
        <v>0.34</v>
      </c>
      <c r="AD153" s="41"/>
    </row>
    <row r="154">
      <c r="A154" s="5" t="s">
        <v>33</v>
      </c>
      <c r="B154" s="5">
        <v>33.66</v>
      </c>
      <c r="D154" s="5" t="s">
        <v>55</v>
      </c>
      <c r="E154" s="5"/>
      <c r="F154" s="41">
        <v>0.3</v>
      </c>
      <c r="G154" s="41"/>
      <c r="H154" s="48" t="s">
        <v>60</v>
      </c>
      <c r="I154" s="48"/>
      <c r="J154" s="48"/>
      <c r="K154" s="49">
        <v>0.25</v>
      </c>
      <c r="L154" s="14"/>
      <c r="M154" s="14" t="s">
        <v>33</v>
      </c>
      <c r="N154" s="49">
        <v>0.26</v>
      </c>
      <c r="O154" s="48"/>
      <c r="P154" s="14" t="s">
        <v>30</v>
      </c>
      <c r="Q154" s="49">
        <v>0.29</v>
      </c>
      <c r="R154" s="48"/>
      <c r="S154" s="14" t="s">
        <v>55</v>
      </c>
      <c r="T154" s="49">
        <v>0.36</v>
      </c>
      <c r="V154" s="5" t="s">
        <v>45</v>
      </c>
      <c r="W154" s="41">
        <v>0.32</v>
      </c>
      <c r="X154" s="41"/>
      <c r="Y154" s="38" t="s">
        <v>45</v>
      </c>
      <c r="Z154" s="41">
        <v>0.33</v>
      </c>
      <c r="AA154" s="41"/>
      <c r="AB154" s="5" t="s">
        <v>33</v>
      </c>
      <c r="AC154" s="41">
        <v>0.33</v>
      </c>
      <c r="AD154" s="41"/>
    </row>
    <row r="155">
      <c r="A155" s="5" t="s">
        <v>142</v>
      </c>
      <c r="B155" s="5">
        <v>32.17</v>
      </c>
      <c r="D155" s="5" t="s">
        <v>60</v>
      </c>
      <c r="E155" s="5"/>
      <c r="F155" s="41">
        <v>0.28</v>
      </c>
      <c r="G155" s="41"/>
      <c r="H155" s="48" t="s">
        <v>57</v>
      </c>
      <c r="I155" s="48"/>
      <c r="J155" s="48"/>
      <c r="K155" s="49">
        <v>0.25</v>
      </c>
      <c r="L155" s="14"/>
      <c r="M155" s="14" t="s">
        <v>30</v>
      </c>
      <c r="N155" s="49">
        <v>0.23</v>
      </c>
      <c r="O155" s="48"/>
      <c r="P155" s="14" t="s">
        <v>112</v>
      </c>
      <c r="Q155" s="49">
        <v>0.29</v>
      </c>
      <c r="R155" s="48"/>
      <c r="S155" s="14" t="s">
        <v>30</v>
      </c>
      <c r="T155" s="49">
        <v>0.33</v>
      </c>
      <c r="V155" s="5" t="s">
        <v>57</v>
      </c>
      <c r="W155" s="41">
        <v>0.31</v>
      </c>
      <c r="X155" s="41"/>
      <c r="Y155" s="38" t="s">
        <v>64</v>
      </c>
      <c r="Z155" s="41">
        <v>0.31</v>
      </c>
      <c r="AA155" s="41"/>
      <c r="AB155" s="5" t="s">
        <v>64</v>
      </c>
      <c r="AC155" s="41">
        <v>0.29</v>
      </c>
      <c r="AD155" s="41"/>
    </row>
    <row r="156">
      <c r="A156" s="5" t="s">
        <v>64</v>
      </c>
      <c r="B156" s="5">
        <v>32.06</v>
      </c>
      <c r="D156" s="5" t="s">
        <v>143</v>
      </c>
      <c r="E156" s="5"/>
      <c r="F156" s="41">
        <v>0.28</v>
      </c>
      <c r="G156" s="41"/>
      <c r="H156" s="48" t="s">
        <v>47</v>
      </c>
      <c r="I156" s="48"/>
      <c r="J156" s="48"/>
      <c r="K156" s="49">
        <v>0.24</v>
      </c>
      <c r="L156" s="14"/>
      <c r="M156" s="14" t="s">
        <v>62</v>
      </c>
      <c r="N156" s="49">
        <v>0.23</v>
      </c>
      <c r="O156" s="48"/>
      <c r="P156" s="14" t="s">
        <v>62</v>
      </c>
      <c r="Q156" s="49">
        <v>0.25</v>
      </c>
      <c r="R156" s="48"/>
      <c r="S156" s="14" t="s">
        <v>112</v>
      </c>
      <c r="T156" s="49">
        <v>0.31</v>
      </c>
      <c r="V156" s="5" t="s">
        <v>112</v>
      </c>
      <c r="W156" s="41">
        <v>0.31</v>
      </c>
      <c r="X156" s="41"/>
      <c r="Y156" s="38" t="s">
        <v>57</v>
      </c>
      <c r="Z156" s="41">
        <v>0.28</v>
      </c>
      <c r="AA156" s="41"/>
      <c r="AB156" s="5" t="s">
        <v>112</v>
      </c>
      <c r="AC156" s="41">
        <v>0.27</v>
      </c>
      <c r="AD156" s="41"/>
    </row>
    <row r="157">
      <c r="N157" s="41"/>
    </row>
    <row r="159">
      <c r="A159" s="8" t="s">
        <v>144</v>
      </c>
      <c r="B159" s="46"/>
    </row>
    <row r="160">
      <c r="A160" s="5" t="s">
        <v>5</v>
      </c>
      <c r="D160" s="5" t="s">
        <v>6</v>
      </c>
      <c r="E160" s="5"/>
      <c r="H160" s="14" t="s">
        <v>7</v>
      </c>
      <c r="I160" s="14"/>
      <c r="J160" s="14"/>
      <c r="K160" s="14"/>
      <c r="L160" s="14"/>
      <c r="M160" s="14" t="s">
        <v>9</v>
      </c>
      <c r="N160" s="14"/>
      <c r="O160" s="14"/>
      <c r="P160" s="15" t="s">
        <v>10</v>
      </c>
      <c r="Q160" s="14"/>
      <c r="R160" s="14"/>
      <c r="S160" s="15" t="s">
        <v>11</v>
      </c>
      <c r="T160" s="14"/>
      <c r="V160" s="8" t="s">
        <v>12</v>
      </c>
      <c r="Y160" s="8" t="s">
        <v>13</v>
      </c>
      <c r="AB160" s="8" t="s">
        <v>14</v>
      </c>
    </row>
    <row r="161">
      <c r="A161" s="5" t="s">
        <v>112</v>
      </c>
      <c r="B161" s="5">
        <v>0.46</v>
      </c>
      <c r="D161" s="5" t="s">
        <v>112</v>
      </c>
      <c r="E161" s="5"/>
      <c r="F161" s="5">
        <v>0.44</v>
      </c>
      <c r="G161" s="5"/>
      <c r="H161" s="15" t="s">
        <v>112</v>
      </c>
      <c r="I161" s="15"/>
      <c r="J161" s="15"/>
      <c r="K161" s="50">
        <v>0.48</v>
      </c>
      <c r="L161" s="14"/>
      <c r="M161" s="14" t="s">
        <v>24</v>
      </c>
      <c r="N161" s="19">
        <v>0.54</v>
      </c>
      <c r="O161" s="14"/>
      <c r="P161" s="14" t="s">
        <v>24</v>
      </c>
      <c r="Q161" s="19">
        <v>0.51</v>
      </c>
      <c r="R161" s="14"/>
      <c r="S161" s="14" t="s">
        <v>24</v>
      </c>
      <c r="T161" s="19">
        <v>0.5</v>
      </c>
      <c r="V161" s="5" t="s">
        <v>24</v>
      </c>
      <c r="W161" s="5">
        <v>0.52</v>
      </c>
      <c r="X161" s="5"/>
      <c r="Y161" s="5" t="s">
        <v>24</v>
      </c>
      <c r="Z161" s="5">
        <v>0.52</v>
      </c>
      <c r="AA161" s="5"/>
      <c r="AB161" s="5" t="s">
        <v>24</v>
      </c>
      <c r="AC161" s="5">
        <v>0.55</v>
      </c>
      <c r="AD161" s="5"/>
    </row>
    <row r="162">
      <c r="A162" s="5" t="s">
        <v>30</v>
      </c>
      <c r="B162" s="5">
        <v>0.65</v>
      </c>
      <c r="D162" s="5" t="s">
        <v>30</v>
      </c>
      <c r="E162" s="5"/>
      <c r="F162" s="5">
        <v>0.5</v>
      </c>
      <c r="G162" s="5"/>
      <c r="H162" s="15" t="s">
        <v>30</v>
      </c>
      <c r="I162" s="15"/>
      <c r="J162" s="15"/>
      <c r="K162" s="50">
        <v>0.5</v>
      </c>
      <c r="L162" s="14"/>
      <c r="M162" s="14" t="s">
        <v>112</v>
      </c>
      <c r="N162" s="19">
        <v>0.57</v>
      </c>
      <c r="O162" s="14"/>
      <c r="P162" s="14" t="s">
        <v>112</v>
      </c>
      <c r="Q162" s="19">
        <v>0.61</v>
      </c>
      <c r="R162" s="14"/>
      <c r="S162" s="14" t="s">
        <v>30</v>
      </c>
      <c r="T162" s="19">
        <v>0.67</v>
      </c>
      <c r="V162" s="5" t="s">
        <v>30</v>
      </c>
      <c r="W162" s="5">
        <v>0.63</v>
      </c>
      <c r="X162" s="5"/>
      <c r="Y162" s="5" t="s">
        <v>30</v>
      </c>
      <c r="Z162" s="5">
        <v>0.66</v>
      </c>
      <c r="AA162" s="5"/>
      <c r="AB162" s="5" t="s">
        <v>30</v>
      </c>
      <c r="AC162" s="5">
        <v>0.6</v>
      </c>
      <c r="AD162" s="5"/>
    </row>
    <row r="163">
      <c r="A163" s="5" t="s">
        <v>33</v>
      </c>
      <c r="B163" s="5">
        <v>1.25</v>
      </c>
      <c r="D163" s="5" t="s">
        <v>24</v>
      </c>
      <c r="E163" s="5"/>
      <c r="F163" s="5">
        <v>0.53</v>
      </c>
      <c r="G163" s="5"/>
      <c r="H163" s="15" t="s">
        <v>24</v>
      </c>
      <c r="I163" s="15"/>
      <c r="J163" s="15"/>
      <c r="K163" s="50">
        <v>0.5</v>
      </c>
      <c r="L163" s="14"/>
      <c r="M163" s="14" t="s">
        <v>30</v>
      </c>
      <c r="N163" s="19">
        <v>0.69</v>
      </c>
      <c r="O163" s="14"/>
      <c r="P163" s="14" t="s">
        <v>30</v>
      </c>
      <c r="Q163" s="19">
        <v>0.75</v>
      </c>
      <c r="R163" s="14"/>
      <c r="S163" s="14" t="s">
        <v>112</v>
      </c>
      <c r="T163" s="19">
        <v>0.8</v>
      </c>
      <c r="V163" s="5" t="s">
        <v>112</v>
      </c>
      <c r="W163" s="5">
        <v>1.24</v>
      </c>
      <c r="X163" s="5"/>
      <c r="Y163" s="5" t="s">
        <v>112</v>
      </c>
      <c r="Z163" s="5">
        <v>1.08</v>
      </c>
      <c r="AA163" s="5"/>
      <c r="AB163" s="5" t="s">
        <v>33</v>
      </c>
      <c r="AC163" s="5">
        <v>1.45</v>
      </c>
      <c r="AD163" s="5"/>
    </row>
    <row r="164">
      <c r="A164" s="5" t="s">
        <v>24</v>
      </c>
      <c r="B164" s="5">
        <v>2.96</v>
      </c>
      <c r="D164" s="5" t="s">
        <v>145</v>
      </c>
      <c r="E164" s="5"/>
      <c r="F164" s="5">
        <v>1.5</v>
      </c>
      <c r="G164" s="5"/>
      <c r="H164" s="15" t="s">
        <v>142</v>
      </c>
      <c r="I164" s="15"/>
      <c r="J164" s="15"/>
      <c r="K164" s="50">
        <v>1.8</v>
      </c>
      <c r="L164" s="14"/>
      <c r="M164" s="14" t="s">
        <v>33</v>
      </c>
      <c r="N164" s="19">
        <v>1.96</v>
      </c>
      <c r="O164" s="14"/>
      <c r="P164" s="14" t="s">
        <v>33</v>
      </c>
      <c r="Q164" s="19">
        <v>4.42</v>
      </c>
      <c r="R164" s="14"/>
      <c r="S164" s="14" t="s">
        <v>33</v>
      </c>
      <c r="T164" s="19">
        <v>2.96</v>
      </c>
      <c r="V164" s="5" t="s">
        <v>33</v>
      </c>
      <c r="W164" s="5">
        <v>2.47</v>
      </c>
      <c r="X164" s="5"/>
      <c r="Y164" s="5" t="s">
        <v>33</v>
      </c>
      <c r="Z164" s="5">
        <v>1.25</v>
      </c>
      <c r="AA164" s="5"/>
      <c r="AB164" s="5" t="s">
        <v>112</v>
      </c>
      <c r="AC164" s="5">
        <v>1.59</v>
      </c>
      <c r="AD164" s="5"/>
    </row>
    <row r="165">
      <c r="A165" s="5" t="s">
        <v>142</v>
      </c>
      <c r="B165" s="5">
        <v>13.99</v>
      </c>
      <c r="D165" s="5" t="s">
        <v>142</v>
      </c>
      <c r="E165" s="5"/>
      <c r="F165" s="5">
        <v>2.44</v>
      </c>
      <c r="G165" s="5"/>
      <c r="H165" s="15" t="s">
        <v>143</v>
      </c>
      <c r="I165" s="15"/>
      <c r="J165" s="15"/>
      <c r="K165" s="50">
        <v>3.06</v>
      </c>
      <c r="L165" s="14"/>
      <c r="M165" s="14" t="s">
        <v>42</v>
      </c>
      <c r="N165" s="19">
        <v>3.84</v>
      </c>
      <c r="O165" s="14"/>
      <c r="P165" s="14" t="s">
        <v>40</v>
      </c>
      <c r="Q165" s="19">
        <v>15.73</v>
      </c>
      <c r="R165" s="14"/>
      <c r="S165" s="14" t="s">
        <v>42</v>
      </c>
      <c r="T165" s="19">
        <v>15.66</v>
      </c>
      <c r="V165" s="5" t="s">
        <v>53</v>
      </c>
      <c r="W165" s="5">
        <v>14.87</v>
      </c>
      <c r="X165" s="5"/>
      <c r="Y165" s="5" t="s">
        <v>42</v>
      </c>
      <c r="Z165" s="5">
        <v>16.35</v>
      </c>
      <c r="AA165" s="5"/>
      <c r="AB165" s="5" t="s">
        <v>40</v>
      </c>
      <c r="AC165" s="5">
        <v>1.69</v>
      </c>
      <c r="AD165" s="5"/>
    </row>
    <row r="166">
      <c r="A166" s="5" t="s">
        <v>42</v>
      </c>
      <c r="B166" s="5">
        <v>20.82</v>
      </c>
      <c r="D166" s="5" t="s">
        <v>42</v>
      </c>
      <c r="E166" s="5"/>
      <c r="F166" s="5">
        <v>3.23</v>
      </c>
      <c r="G166" s="5"/>
      <c r="H166" s="15" t="s">
        <v>40</v>
      </c>
      <c r="I166" s="15"/>
      <c r="J166" s="15"/>
      <c r="K166" s="50">
        <v>3.16</v>
      </c>
      <c r="L166" s="14"/>
      <c r="M166" s="14" t="s">
        <v>40</v>
      </c>
      <c r="N166" s="19">
        <v>5.8</v>
      </c>
      <c r="O166" s="14"/>
      <c r="P166" s="14" t="s">
        <v>42</v>
      </c>
      <c r="Q166" s="19">
        <v>16.89</v>
      </c>
      <c r="R166" s="14"/>
      <c r="S166" s="14" t="s">
        <v>47</v>
      </c>
      <c r="T166" s="19">
        <v>16.87</v>
      </c>
      <c r="V166" s="5" t="s">
        <v>47</v>
      </c>
      <c r="W166" s="5">
        <v>15.05</v>
      </c>
      <c r="X166" s="5"/>
      <c r="Y166" s="5" t="s">
        <v>45</v>
      </c>
      <c r="Z166" s="5">
        <v>18.15</v>
      </c>
      <c r="AA166" s="5"/>
      <c r="AB166" s="5" t="s">
        <v>42</v>
      </c>
      <c r="AC166" s="5">
        <v>13.7</v>
      </c>
      <c r="AD166" s="5"/>
    </row>
    <row r="167">
      <c r="A167" s="5" t="s">
        <v>143</v>
      </c>
      <c r="B167" s="5">
        <v>23.56</v>
      </c>
      <c r="D167" s="5" t="s">
        <v>33</v>
      </c>
      <c r="E167" s="5"/>
      <c r="F167" s="5">
        <v>4.12</v>
      </c>
      <c r="G167" s="5"/>
      <c r="H167" s="15" t="s">
        <v>42</v>
      </c>
      <c r="I167" s="15"/>
      <c r="J167" s="15"/>
      <c r="K167" s="50">
        <v>3.42</v>
      </c>
      <c r="L167" s="14"/>
      <c r="M167" s="14" t="s">
        <v>45</v>
      </c>
      <c r="N167" s="19">
        <v>19.66</v>
      </c>
      <c r="O167" s="14"/>
      <c r="P167" s="14" t="s">
        <v>45</v>
      </c>
      <c r="Q167" s="19">
        <v>17.5</v>
      </c>
      <c r="R167" s="14"/>
      <c r="S167" s="14" t="s">
        <v>53</v>
      </c>
      <c r="T167" s="19">
        <v>16.97</v>
      </c>
      <c r="V167" s="5" t="s">
        <v>42</v>
      </c>
      <c r="W167" s="5">
        <v>18.0</v>
      </c>
      <c r="X167" s="5"/>
      <c r="Y167" s="5" t="s">
        <v>47</v>
      </c>
      <c r="Z167" s="5">
        <v>18.78</v>
      </c>
      <c r="AA167" s="5"/>
      <c r="AB167" s="5" t="s">
        <v>45</v>
      </c>
      <c r="AC167" s="5">
        <v>18.21</v>
      </c>
      <c r="AD167" s="5"/>
    </row>
    <row r="168">
      <c r="A168" s="5" t="s">
        <v>40</v>
      </c>
      <c r="B168" s="5">
        <v>40.29</v>
      </c>
      <c r="D168" s="5" t="s">
        <v>143</v>
      </c>
      <c r="E168" s="5"/>
      <c r="F168" s="5">
        <v>12.93</v>
      </c>
      <c r="G168" s="5"/>
      <c r="H168" s="15" t="s">
        <v>33</v>
      </c>
      <c r="I168" s="15"/>
      <c r="J168" s="15"/>
      <c r="K168" s="50">
        <v>4.14</v>
      </c>
      <c r="L168" s="14"/>
      <c r="M168" s="14" t="s">
        <v>51</v>
      </c>
      <c r="N168" s="39">
        <v>21.94</v>
      </c>
      <c r="O168" s="35"/>
      <c r="P168" s="14" t="s">
        <v>47</v>
      </c>
      <c r="Q168" s="39">
        <v>21.29</v>
      </c>
      <c r="R168" s="35"/>
      <c r="S168" s="14" t="s">
        <v>40</v>
      </c>
      <c r="T168" s="19">
        <v>17.61</v>
      </c>
      <c r="V168" s="5" t="s">
        <v>55</v>
      </c>
      <c r="W168" s="5">
        <v>19.89</v>
      </c>
      <c r="X168" s="5"/>
      <c r="Y168" s="5" t="s">
        <v>53</v>
      </c>
      <c r="Z168" s="5">
        <v>19.43</v>
      </c>
      <c r="AA168" s="5"/>
      <c r="AB168" s="5" t="s">
        <v>55</v>
      </c>
      <c r="AC168" s="5">
        <v>19.25</v>
      </c>
      <c r="AD168" s="5"/>
    </row>
    <row r="169">
      <c r="A169" s="5" t="s">
        <v>45</v>
      </c>
      <c r="B169" s="5">
        <v>40.66</v>
      </c>
      <c r="D169" s="5" t="s">
        <v>40</v>
      </c>
      <c r="E169" s="5"/>
      <c r="F169" s="5">
        <v>15.2</v>
      </c>
      <c r="G169" s="5"/>
      <c r="H169" s="15" t="s">
        <v>57</v>
      </c>
      <c r="I169" s="15"/>
      <c r="J169" s="15"/>
      <c r="K169" s="50">
        <v>14.26</v>
      </c>
      <c r="L169" s="14"/>
      <c r="M169" s="14" t="s">
        <v>47</v>
      </c>
      <c r="N169" s="19">
        <v>23.36</v>
      </c>
      <c r="O169" s="14"/>
      <c r="P169" s="14" t="s">
        <v>51</v>
      </c>
      <c r="Q169" s="19">
        <v>23.89</v>
      </c>
      <c r="R169" s="14"/>
      <c r="S169" s="14" t="s">
        <v>45</v>
      </c>
      <c r="T169" s="19">
        <v>19.08</v>
      </c>
      <c r="V169" s="5" t="s">
        <v>60</v>
      </c>
      <c r="W169" s="5">
        <v>20.17</v>
      </c>
      <c r="X169" s="5"/>
      <c r="Y169" s="5" t="s">
        <v>40</v>
      </c>
      <c r="Z169" s="5">
        <v>19.51</v>
      </c>
      <c r="AA169" s="5"/>
      <c r="AB169" s="5" t="s">
        <v>57</v>
      </c>
      <c r="AC169" s="5">
        <v>24.27</v>
      </c>
      <c r="AD169" s="5"/>
    </row>
    <row r="170">
      <c r="A170" s="5" t="s">
        <v>53</v>
      </c>
      <c r="B170" s="5">
        <v>43.94</v>
      </c>
      <c r="D170" s="5" t="s">
        <v>57</v>
      </c>
      <c r="E170" s="5"/>
      <c r="F170" s="5">
        <v>16.72</v>
      </c>
      <c r="G170" s="5"/>
      <c r="H170" s="15" t="s">
        <v>60</v>
      </c>
      <c r="I170" s="15"/>
      <c r="J170" s="15"/>
      <c r="K170" s="50">
        <v>17.83</v>
      </c>
      <c r="L170" s="14"/>
      <c r="M170" s="14" t="s">
        <v>53</v>
      </c>
      <c r="N170" s="39">
        <v>25.45</v>
      </c>
      <c r="O170" s="35"/>
      <c r="P170" s="14" t="s">
        <v>53</v>
      </c>
      <c r="Q170" s="39">
        <v>25.95</v>
      </c>
      <c r="R170" s="35"/>
      <c r="S170" s="14" t="s">
        <v>55</v>
      </c>
      <c r="T170" s="19">
        <v>23.42</v>
      </c>
      <c r="V170" s="5" t="s">
        <v>45</v>
      </c>
      <c r="W170" s="5">
        <v>20.78</v>
      </c>
      <c r="X170" s="5"/>
      <c r="Y170" s="5" t="s">
        <v>55</v>
      </c>
      <c r="Z170" s="5">
        <v>23.52</v>
      </c>
      <c r="AA170" s="5"/>
      <c r="AB170" s="5" t="s">
        <v>47</v>
      </c>
      <c r="AC170" s="5">
        <v>24.37</v>
      </c>
      <c r="AD170" s="5"/>
    </row>
    <row r="171"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>
      <c r="A173" s="3" t="s">
        <v>146</v>
      </c>
      <c r="B173" s="4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Y173" s="8"/>
    </row>
    <row r="174">
      <c r="A174" s="5" t="s">
        <v>5</v>
      </c>
      <c r="D174" s="5" t="s">
        <v>6</v>
      </c>
      <c r="E174" s="5"/>
      <c r="H174" s="14" t="s">
        <v>7</v>
      </c>
      <c r="I174" s="14"/>
      <c r="J174" s="14"/>
      <c r="K174" s="14"/>
      <c r="L174" s="14"/>
      <c r="M174" s="14" t="s">
        <v>9</v>
      </c>
      <c r="N174" s="14"/>
      <c r="O174" s="14"/>
      <c r="P174" s="14" t="s">
        <v>10</v>
      </c>
      <c r="Q174" s="14"/>
      <c r="R174" s="14"/>
      <c r="S174" s="14" t="s">
        <v>11</v>
      </c>
      <c r="T174" s="14"/>
      <c r="V174" s="8" t="s">
        <v>12</v>
      </c>
      <c r="Y174" s="8" t="s">
        <v>13</v>
      </c>
      <c r="AB174" s="8" t="s">
        <v>14</v>
      </c>
    </row>
    <row r="175">
      <c r="A175" s="5" t="s">
        <v>112</v>
      </c>
      <c r="B175" s="5">
        <v>0.4</v>
      </c>
      <c r="D175" s="5" t="s">
        <v>112</v>
      </c>
      <c r="E175" s="5"/>
      <c r="F175" s="5">
        <v>0.44</v>
      </c>
      <c r="G175" s="5"/>
      <c r="H175" s="15" t="s">
        <v>112</v>
      </c>
      <c r="I175" s="15"/>
      <c r="J175" s="15"/>
      <c r="K175" s="50">
        <v>0.48</v>
      </c>
      <c r="L175" s="14"/>
      <c r="M175" s="14" t="s">
        <v>30</v>
      </c>
      <c r="N175" s="36">
        <v>0.5</v>
      </c>
      <c r="O175" s="37"/>
      <c r="P175" s="14" t="s">
        <v>112</v>
      </c>
      <c r="Q175" s="36">
        <v>0.49</v>
      </c>
      <c r="R175" s="37"/>
      <c r="S175" s="14" t="s">
        <v>24</v>
      </c>
      <c r="T175" s="19">
        <v>0.5</v>
      </c>
      <c r="V175" s="5" t="s">
        <v>30</v>
      </c>
      <c r="W175" s="5">
        <v>0.51</v>
      </c>
      <c r="X175" s="5"/>
      <c r="Y175" s="5" t="s">
        <v>24</v>
      </c>
      <c r="Z175" s="5">
        <v>0.52</v>
      </c>
      <c r="AA175" s="5"/>
      <c r="AB175" s="5" t="s">
        <v>24</v>
      </c>
      <c r="AC175" s="5">
        <v>0.52</v>
      </c>
      <c r="AD175" s="5"/>
    </row>
    <row r="176">
      <c r="A176" s="5" t="s">
        <v>30</v>
      </c>
      <c r="B176" s="5">
        <v>0.55</v>
      </c>
      <c r="D176" s="5" t="s">
        <v>30</v>
      </c>
      <c r="E176" s="5"/>
      <c r="F176" s="5">
        <v>0.5</v>
      </c>
      <c r="G176" s="5"/>
      <c r="H176" s="15" t="s">
        <v>30</v>
      </c>
      <c r="I176" s="15"/>
      <c r="J176" s="15"/>
      <c r="K176" s="50">
        <v>0.5</v>
      </c>
      <c r="L176" s="14"/>
      <c r="M176" s="14" t="s">
        <v>112</v>
      </c>
      <c r="N176" s="36">
        <v>0.5</v>
      </c>
      <c r="O176" s="37"/>
      <c r="P176" s="14" t="s">
        <v>24</v>
      </c>
      <c r="Q176" s="36">
        <v>0.5</v>
      </c>
      <c r="R176" s="37"/>
      <c r="S176" s="14" t="s">
        <v>30</v>
      </c>
      <c r="T176" s="19">
        <v>0.51</v>
      </c>
      <c r="V176" s="5" t="s">
        <v>24</v>
      </c>
      <c r="W176" s="5">
        <v>0.51</v>
      </c>
      <c r="X176" s="5"/>
      <c r="Y176" s="5" t="s">
        <v>30</v>
      </c>
      <c r="Z176" s="5">
        <v>0.54</v>
      </c>
      <c r="AA176" s="5"/>
      <c r="AB176" s="5" t="s">
        <v>30</v>
      </c>
      <c r="AC176" s="5">
        <v>0.53</v>
      </c>
      <c r="AD176" s="5"/>
    </row>
    <row r="177">
      <c r="A177" s="5" t="s">
        <v>24</v>
      </c>
      <c r="B177" s="5">
        <v>0.79</v>
      </c>
      <c r="D177" s="5" t="s">
        <v>24</v>
      </c>
      <c r="E177" s="5"/>
      <c r="F177" s="5">
        <v>0.53</v>
      </c>
      <c r="G177" s="5"/>
      <c r="H177" s="15" t="s">
        <v>24</v>
      </c>
      <c r="I177" s="15"/>
      <c r="J177" s="15"/>
      <c r="K177" s="50">
        <v>0.5</v>
      </c>
      <c r="L177" s="14"/>
      <c r="M177" s="14" t="s">
        <v>24</v>
      </c>
      <c r="N177" s="36">
        <v>0.53</v>
      </c>
      <c r="O177" s="37"/>
      <c r="P177" s="14" t="s">
        <v>30</v>
      </c>
      <c r="Q177" s="36">
        <v>0.52</v>
      </c>
      <c r="R177" s="37"/>
      <c r="S177" s="14" t="s">
        <v>112</v>
      </c>
      <c r="T177" s="19">
        <v>0.69</v>
      </c>
      <c r="V177" s="5" t="s">
        <v>112</v>
      </c>
      <c r="W177" s="5">
        <v>1.18</v>
      </c>
      <c r="X177" s="5"/>
      <c r="Y177" s="5" t="s">
        <v>112</v>
      </c>
      <c r="Z177" s="5">
        <v>1.17</v>
      </c>
      <c r="AA177" s="5"/>
      <c r="AB177" s="5" t="s">
        <v>40</v>
      </c>
      <c r="AC177" s="5">
        <v>1.45</v>
      </c>
      <c r="AD177" s="5"/>
    </row>
    <row r="178">
      <c r="A178" s="5" t="s">
        <v>145</v>
      </c>
      <c r="B178" s="5">
        <v>1.82</v>
      </c>
      <c r="D178" s="5" t="s">
        <v>145</v>
      </c>
      <c r="E178" s="5"/>
      <c r="F178" s="5">
        <v>1.5</v>
      </c>
      <c r="G178" s="5"/>
      <c r="H178" s="15" t="s">
        <v>142</v>
      </c>
      <c r="I178" s="15"/>
      <c r="J178" s="15"/>
      <c r="K178" s="50">
        <v>1.8</v>
      </c>
      <c r="L178" s="14"/>
      <c r="M178" s="14" t="s">
        <v>42</v>
      </c>
      <c r="N178" s="36">
        <v>2.07</v>
      </c>
      <c r="O178" s="37"/>
      <c r="P178" s="14" t="s">
        <v>45</v>
      </c>
      <c r="Q178" s="36">
        <v>2.7</v>
      </c>
      <c r="R178" s="37"/>
      <c r="S178" s="14" t="s">
        <v>53</v>
      </c>
      <c r="T178" s="19">
        <v>2.61</v>
      </c>
      <c r="V178" s="5" t="s">
        <v>53</v>
      </c>
      <c r="W178" s="5">
        <v>2.2</v>
      </c>
      <c r="X178" s="5"/>
      <c r="Y178" s="5" t="s">
        <v>45</v>
      </c>
      <c r="Z178" s="5">
        <v>2.37</v>
      </c>
      <c r="AA178" s="5"/>
      <c r="AB178" s="5" t="s">
        <v>112</v>
      </c>
      <c r="AC178" s="5">
        <v>1.46</v>
      </c>
      <c r="AD178" s="5"/>
    </row>
    <row r="179">
      <c r="A179" s="5" t="s">
        <v>142</v>
      </c>
      <c r="B179" s="5">
        <v>2.56</v>
      </c>
      <c r="D179" s="5" t="s">
        <v>142</v>
      </c>
      <c r="E179" s="5"/>
      <c r="F179" s="5">
        <v>2.44</v>
      </c>
      <c r="G179" s="5"/>
      <c r="H179" s="15" t="s">
        <v>143</v>
      </c>
      <c r="I179" s="15"/>
      <c r="J179" s="15"/>
      <c r="K179" s="50">
        <v>3.06</v>
      </c>
      <c r="L179" s="14"/>
      <c r="M179" s="14" t="s">
        <v>40</v>
      </c>
      <c r="N179" s="36">
        <v>2.41</v>
      </c>
      <c r="O179" s="37"/>
      <c r="P179" s="14" t="s">
        <v>40</v>
      </c>
      <c r="Q179" s="36">
        <v>2.95</v>
      </c>
      <c r="R179" s="37"/>
      <c r="S179" s="14" t="s">
        <v>42</v>
      </c>
      <c r="T179" s="19">
        <v>3.17</v>
      </c>
      <c r="V179" s="5" t="s">
        <v>33</v>
      </c>
      <c r="W179" s="5">
        <v>2.83</v>
      </c>
      <c r="X179" s="5"/>
      <c r="Y179" s="5" t="s">
        <v>33</v>
      </c>
      <c r="Z179" s="5">
        <v>2.79</v>
      </c>
      <c r="AA179" s="5"/>
      <c r="AB179" s="5" t="s">
        <v>53</v>
      </c>
      <c r="AC179" s="5">
        <v>1.97</v>
      </c>
      <c r="AD179" s="5"/>
    </row>
    <row r="180">
      <c r="A180" s="5" t="s">
        <v>33</v>
      </c>
      <c r="B180" s="5">
        <v>3.86</v>
      </c>
      <c r="D180" s="5" t="s">
        <v>42</v>
      </c>
      <c r="E180" s="5"/>
      <c r="F180" s="5">
        <v>3.23</v>
      </c>
      <c r="G180" s="5"/>
      <c r="H180" s="15" t="s">
        <v>40</v>
      </c>
      <c r="I180" s="15"/>
      <c r="J180" s="15"/>
      <c r="K180" s="50">
        <v>3.16</v>
      </c>
      <c r="L180" s="14"/>
      <c r="M180" s="14" t="s">
        <v>33</v>
      </c>
      <c r="N180" s="36">
        <v>3.02</v>
      </c>
      <c r="O180" s="37"/>
      <c r="P180" s="14" t="s">
        <v>42</v>
      </c>
      <c r="Q180" s="36">
        <v>3.14</v>
      </c>
      <c r="R180" s="37"/>
      <c r="S180" s="14" t="s">
        <v>33</v>
      </c>
      <c r="T180" s="19">
        <v>4.09</v>
      </c>
      <c r="V180" s="5" t="s">
        <v>45</v>
      </c>
      <c r="W180" s="5">
        <v>3.26</v>
      </c>
      <c r="X180" s="5"/>
      <c r="Y180" s="5" t="s">
        <v>42</v>
      </c>
      <c r="Z180" s="5">
        <v>3.91</v>
      </c>
      <c r="AA180" s="5"/>
      <c r="AB180" s="5" t="s">
        <v>33</v>
      </c>
      <c r="AC180" s="5">
        <v>2.61</v>
      </c>
      <c r="AD180" s="5"/>
    </row>
    <row r="181">
      <c r="A181" s="5" t="s">
        <v>143</v>
      </c>
      <c r="B181" s="5">
        <v>10.65</v>
      </c>
      <c r="D181" s="5" t="s">
        <v>33</v>
      </c>
      <c r="E181" s="5"/>
      <c r="F181" s="5">
        <v>4.12</v>
      </c>
      <c r="G181" s="5"/>
      <c r="H181" s="15" t="s">
        <v>42</v>
      </c>
      <c r="I181" s="15"/>
      <c r="J181" s="15"/>
      <c r="K181" s="50">
        <v>3.42</v>
      </c>
      <c r="L181" s="14"/>
      <c r="M181" s="14" t="s">
        <v>45</v>
      </c>
      <c r="N181" s="36">
        <v>4.91</v>
      </c>
      <c r="O181" s="37"/>
      <c r="P181" s="14" t="s">
        <v>53</v>
      </c>
      <c r="Q181" s="36">
        <v>4.02</v>
      </c>
      <c r="R181" s="37"/>
      <c r="S181" s="14" t="s">
        <v>45</v>
      </c>
      <c r="T181" s="19">
        <v>4.19</v>
      </c>
      <c r="V181" s="5" t="s">
        <v>42</v>
      </c>
      <c r="W181" s="5">
        <v>3.58</v>
      </c>
      <c r="X181" s="5"/>
      <c r="Y181" s="5" t="s">
        <v>53</v>
      </c>
      <c r="Z181" s="5">
        <v>7.19</v>
      </c>
      <c r="AA181" s="5"/>
      <c r="AB181" s="5" t="s">
        <v>42</v>
      </c>
      <c r="AC181" s="5">
        <v>3.19</v>
      </c>
      <c r="AD181" s="5"/>
    </row>
    <row r="182">
      <c r="A182" s="5" t="s">
        <v>147</v>
      </c>
      <c r="B182" s="5">
        <v>16.09</v>
      </c>
      <c r="D182" s="5" t="s">
        <v>143</v>
      </c>
      <c r="E182" s="5"/>
      <c r="F182" s="5">
        <v>12.93</v>
      </c>
      <c r="G182" s="5"/>
      <c r="H182" s="15" t="s">
        <v>33</v>
      </c>
      <c r="I182" s="15"/>
      <c r="J182" s="15"/>
      <c r="K182" s="50">
        <v>4.14</v>
      </c>
      <c r="L182" s="14"/>
      <c r="M182" s="14" t="s">
        <v>53</v>
      </c>
      <c r="N182" s="36">
        <v>13.69</v>
      </c>
      <c r="O182" s="37"/>
      <c r="P182" s="14" t="s">
        <v>33</v>
      </c>
      <c r="Q182" s="36">
        <v>4.15</v>
      </c>
      <c r="R182" s="37"/>
      <c r="S182" s="14" t="s">
        <v>51</v>
      </c>
      <c r="T182" s="19">
        <v>4.55</v>
      </c>
      <c r="V182" s="5" t="s">
        <v>47</v>
      </c>
      <c r="W182" s="5">
        <v>3.69</v>
      </c>
      <c r="X182" s="5"/>
      <c r="Y182" s="5" t="s">
        <v>40</v>
      </c>
      <c r="Z182" s="5">
        <v>8.97</v>
      </c>
      <c r="AA182" s="5"/>
      <c r="AB182" s="5" t="s">
        <v>45</v>
      </c>
      <c r="AC182" s="5">
        <v>4.07</v>
      </c>
      <c r="AD182" s="5"/>
    </row>
    <row r="183">
      <c r="A183" s="5" t="s">
        <v>42</v>
      </c>
      <c r="B183" s="5">
        <v>16.74</v>
      </c>
      <c r="D183" s="5" t="s">
        <v>40</v>
      </c>
      <c r="E183" s="5"/>
      <c r="F183" s="5">
        <v>15.2</v>
      </c>
      <c r="G183" s="5"/>
      <c r="H183" s="15" t="s">
        <v>57</v>
      </c>
      <c r="I183" s="15"/>
      <c r="J183" s="15"/>
      <c r="K183" s="50">
        <v>14.26</v>
      </c>
      <c r="L183" s="14"/>
      <c r="M183" s="14" t="s">
        <v>60</v>
      </c>
      <c r="N183" s="36">
        <v>13.93</v>
      </c>
      <c r="O183" s="37"/>
      <c r="P183" s="14" t="s">
        <v>60</v>
      </c>
      <c r="Q183" s="36">
        <v>14.1</v>
      </c>
      <c r="R183" s="37"/>
      <c r="S183" s="14" t="s">
        <v>47</v>
      </c>
      <c r="T183" s="19">
        <v>5.58</v>
      </c>
      <c r="V183" s="5" t="s">
        <v>60</v>
      </c>
      <c r="W183" s="5">
        <v>4.07</v>
      </c>
      <c r="X183" s="5"/>
      <c r="Y183" s="5" t="s">
        <v>47</v>
      </c>
      <c r="Z183" s="5">
        <v>15.38</v>
      </c>
      <c r="AA183" s="5"/>
      <c r="AB183" s="5" t="s">
        <v>57</v>
      </c>
      <c r="AC183" s="5">
        <v>5.39</v>
      </c>
      <c r="AD183" s="5"/>
    </row>
    <row r="184">
      <c r="A184" s="5" t="s">
        <v>51</v>
      </c>
      <c r="B184" s="5">
        <v>20.72</v>
      </c>
      <c r="D184" s="5" t="s">
        <v>57</v>
      </c>
      <c r="E184" s="5"/>
      <c r="F184" s="5">
        <v>16.72</v>
      </c>
      <c r="G184" s="5"/>
      <c r="H184" s="15" t="s">
        <v>60</v>
      </c>
      <c r="I184" s="15"/>
      <c r="J184" s="15"/>
      <c r="K184" s="50">
        <v>17.83</v>
      </c>
      <c r="L184" s="14"/>
      <c r="M184" s="14" t="s">
        <v>57</v>
      </c>
      <c r="N184" s="36">
        <v>15.11</v>
      </c>
      <c r="O184" s="37"/>
      <c r="P184" s="14" t="s">
        <v>51</v>
      </c>
      <c r="Q184" s="36">
        <v>16.24</v>
      </c>
      <c r="R184" s="37"/>
      <c r="S184" s="14" t="s">
        <v>40</v>
      </c>
      <c r="T184" s="19">
        <v>6.24</v>
      </c>
      <c r="V184" s="5" t="s">
        <v>55</v>
      </c>
      <c r="W184" s="5">
        <v>5.3</v>
      </c>
      <c r="X184" s="5"/>
      <c r="Y184" s="5" t="s">
        <v>60</v>
      </c>
      <c r="Z184" s="5">
        <v>15.83</v>
      </c>
      <c r="AA184" s="5"/>
      <c r="AB184" s="5" t="s">
        <v>60</v>
      </c>
      <c r="AC184" s="5">
        <v>15.2</v>
      </c>
      <c r="AD184" s="5"/>
    </row>
    <row r="187">
      <c r="A187" s="51" t="s">
        <v>148</v>
      </c>
    </row>
    <row r="188">
      <c r="B188" s="5" t="s">
        <v>7</v>
      </c>
      <c r="D188" s="5" t="s">
        <v>9</v>
      </c>
      <c r="L188" s="5" t="s">
        <v>10</v>
      </c>
      <c r="P188" s="5" t="s">
        <v>11</v>
      </c>
      <c r="T188" s="8" t="s">
        <v>12</v>
      </c>
      <c r="X188" s="8" t="s">
        <v>13</v>
      </c>
      <c r="AB188" s="8" t="s">
        <v>14</v>
      </c>
    </row>
    <row r="189">
      <c r="A189" s="5" t="s">
        <v>149</v>
      </c>
      <c r="B189" s="41">
        <v>1.0</v>
      </c>
      <c r="D189" s="5">
        <v>100.0</v>
      </c>
      <c r="L189" s="5">
        <v>100.0</v>
      </c>
      <c r="P189" s="5">
        <v>100.0</v>
      </c>
      <c r="T189" s="5">
        <v>100.0</v>
      </c>
      <c r="X189" s="5">
        <v>100.0</v>
      </c>
      <c r="AB189" s="5">
        <v>100.0</v>
      </c>
    </row>
    <row r="190">
      <c r="A190" s="5" t="s">
        <v>150</v>
      </c>
      <c r="B190" s="5">
        <v>79.8</v>
      </c>
      <c r="D190" s="5">
        <v>79.1</v>
      </c>
      <c r="F190" s="11">
        <f t="shared" ref="F190:F193" si="2">D189-D190</f>
        <v>20.9</v>
      </c>
      <c r="L190" s="5">
        <v>81.3</v>
      </c>
      <c r="M190" s="11">
        <f t="shared" ref="M190:M193" si="3">L189-L190</f>
        <v>18.7</v>
      </c>
      <c r="N190" s="11">
        <f t="shared" ref="N190:N193" si="4">L190-D190</f>
        <v>2.2</v>
      </c>
      <c r="P190" s="5">
        <v>84.2</v>
      </c>
      <c r="Q190" s="11">
        <f t="shared" ref="Q190:Q193" si="5">P189-P190</f>
        <v>15.8</v>
      </c>
      <c r="R190" s="11">
        <f t="shared" ref="R190:R193" si="6">P190-L190</f>
        <v>2.9</v>
      </c>
      <c r="T190" s="5">
        <v>87.9</v>
      </c>
      <c r="U190" s="11">
        <f t="shared" ref="U190:U193" si="7">T189-T190</f>
        <v>12.1</v>
      </c>
      <c r="V190" s="11">
        <f t="shared" ref="V190:V193" si="8">T190-P190</f>
        <v>3.7</v>
      </c>
      <c r="X190" s="5">
        <v>86.4</v>
      </c>
      <c r="Y190" s="11">
        <f t="shared" ref="Y190:Y193" si="9">X189-X190</f>
        <v>13.6</v>
      </c>
      <c r="Z190" s="11">
        <f t="shared" ref="Z190:Z193" si="10">X190-T190</f>
        <v>-1.5</v>
      </c>
      <c r="AB190" s="5">
        <v>85.9</v>
      </c>
      <c r="AC190" s="11">
        <f t="shared" ref="AC190:AC193" si="11">AB189-AB190</f>
        <v>14.1</v>
      </c>
      <c r="AD190" s="11">
        <f t="shared" ref="AD190:AD193" si="12">AB190-X190</f>
        <v>-0.5</v>
      </c>
    </row>
    <row r="191">
      <c r="A191" s="5" t="s">
        <v>152</v>
      </c>
      <c r="B191" s="5">
        <v>63.4</v>
      </c>
      <c r="D191" s="5">
        <v>60.2</v>
      </c>
      <c r="F191" s="11">
        <f t="shared" si="2"/>
        <v>18.9</v>
      </c>
      <c r="L191" s="5">
        <v>62.2</v>
      </c>
      <c r="M191" s="11">
        <f t="shared" si="3"/>
        <v>19.1</v>
      </c>
      <c r="N191" s="11">
        <f t="shared" si="4"/>
        <v>2</v>
      </c>
      <c r="P191" s="5">
        <v>67.2</v>
      </c>
      <c r="Q191" s="11">
        <f t="shared" si="5"/>
        <v>17</v>
      </c>
      <c r="R191" s="11">
        <f t="shared" si="6"/>
        <v>5</v>
      </c>
      <c r="T191" s="5">
        <v>73.9</v>
      </c>
      <c r="U191" s="11">
        <f t="shared" si="7"/>
        <v>14</v>
      </c>
      <c r="V191" s="11">
        <f t="shared" si="8"/>
        <v>6.7</v>
      </c>
      <c r="X191" s="5">
        <v>70.3</v>
      </c>
      <c r="Y191" s="11">
        <f t="shared" si="9"/>
        <v>16.1</v>
      </c>
      <c r="Z191" s="11">
        <f t="shared" si="10"/>
        <v>-3.6</v>
      </c>
      <c r="AB191" s="5">
        <v>69.7</v>
      </c>
      <c r="AC191" s="11">
        <f t="shared" si="11"/>
        <v>16.2</v>
      </c>
      <c r="AD191" s="11">
        <f t="shared" si="12"/>
        <v>-0.6</v>
      </c>
    </row>
    <row r="192">
      <c r="A192" s="5" t="s">
        <v>153</v>
      </c>
      <c r="B192" s="5">
        <v>51.9</v>
      </c>
      <c r="D192" s="5">
        <v>49.4</v>
      </c>
      <c r="F192" s="11">
        <f t="shared" si="2"/>
        <v>10.8</v>
      </c>
      <c r="L192" s="5">
        <v>52.2</v>
      </c>
      <c r="M192" s="11">
        <f t="shared" si="3"/>
        <v>10</v>
      </c>
      <c r="N192" s="11">
        <f t="shared" si="4"/>
        <v>2.8</v>
      </c>
      <c r="P192" s="5">
        <v>56.4</v>
      </c>
      <c r="Q192" s="11">
        <f t="shared" si="5"/>
        <v>10.8</v>
      </c>
      <c r="R192" s="11">
        <f t="shared" si="6"/>
        <v>4.2</v>
      </c>
      <c r="T192" s="5">
        <v>66.3</v>
      </c>
      <c r="U192" s="11">
        <f t="shared" si="7"/>
        <v>7.6</v>
      </c>
      <c r="V192" s="11">
        <f t="shared" si="8"/>
        <v>9.9</v>
      </c>
      <c r="X192" s="5">
        <v>61.1</v>
      </c>
      <c r="Y192" s="11">
        <f t="shared" si="9"/>
        <v>9.2</v>
      </c>
      <c r="Z192" s="11">
        <f t="shared" si="10"/>
        <v>-5.2</v>
      </c>
      <c r="AB192" s="5">
        <v>59.5</v>
      </c>
      <c r="AC192" s="11">
        <f t="shared" si="11"/>
        <v>10.2</v>
      </c>
      <c r="AD192" s="11">
        <f t="shared" si="12"/>
        <v>-1.6</v>
      </c>
    </row>
    <row r="193">
      <c r="A193" s="5" t="s">
        <v>154</v>
      </c>
      <c r="B193" s="5">
        <v>29.4</v>
      </c>
      <c r="D193" s="5">
        <v>28.4</v>
      </c>
      <c r="F193" s="11">
        <f t="shared" si="2"/>
        <v>21</v>
      </c>
      <c r="L193" s="5">
        <v>31.4</v>
      </c>
      <c r="M193" s="11">
        <f t="shared" si="3"/>
        <v>20.8</v>
      </c>
      <c r="N193" s="11">
        <f t="shared" si="4"/>
        <v>3</v>
      </c>
      <c r="P193" s="5">
        <v>34.4</v>
      </c>
      <c r="Q193" s="11">
        <f t="shared" si="5"/>
        <v>22</v>
      </c>
      <c r="R193" s="11">
        <f t="shared" si="6"/>
        <v>3</v>
      </c>
      <c r="T193" s="5">
        <v>45.1</v>
      </c>
      <c r="U193" s="11">
        <f t="shared" si="7"/>
        <v>21.2</v>
      </c>
      <c r="V193" s="11">
        <f t="shared" si="8"/>
        <v>10.7</v>
      </c>
      <c r="X193" s="5">
        <v>41.3</v>
      </c>
      <c r="Y193" s="11">
        <f t="shared" si="9"/>
        <v>19.8</v>
      </c>
      <c r="Z193" s="11">
        <f t="shared" si="10"/>
        <v>-3.8</v>
      </c>
      <c r="AB193" s="5">
        <v>38.9</v>
      </c>
      <c r="AC193" s="11">
        <f t="shared" si="11"/>
        <v>20.6</v>
      </c>
      <c r="AD193" s="11">
        <f t="shared" si="12"/>
        <v>-2.4</v>
      </c>
    </row>
    <row r="196">
      <c r="A196" s="52" t="s">
        <v>155</v>
      </c>
      <c r="D196" s="8" t="s">
        <v>14</v>
      </c>
    </row>
    <row r="197">
      <c r="A197" s="5" t="s">
        <v>156</v>
      </c>
      <c r="B197" s="5">
        <v>12.4</v>
      </c>
      <c r="C197" s="5">
        <v>6.2</v>
      </c>
      <c r="D197" s="5">
        <v>4.7</v>
      </c>
    </row>
    <row r="198">
      <c r="A198" s="5" t="s">
        <v>157</v>
      </c>
      <c r="B198" s="5">
        <v>5.4</v>
      </c>
      <c r="C198" s="5">
        <v>5.9</v>
      </c>
      <c r="D198" s="5">
        <v>5.8</v>
      </c>
    </row>
    <row r="200">
      <c r="A200" s="5" t="s">
        <v>158</v>
      </c>
      <c r="B200" s="11">
        <f t="shared" ref="B200:C200" si="13">B197+B198</f>
        <v>17.8</v>
      </c>
      <c r="C200" s="5">
        <f t="shared" si="13"/>
        <v>12.1</v>
      </c>
      <c r="D200" s="11">
        <f>SUM(D197:D198)</f>
        <v>10.5</v>
      </c>
    </row>
  </sheetData>
  <mergeCells count="11">
    <mergeCell ref="A92:B92"/>
    <mergeCell ref="A108:B108"/>
    <mergeCell ref="A121:B121"/>
    <mergeCell ref="A138:B138"/>
    <mergeCell ref="A1:B1"/>
    <mergeCell ref="A5:B5"/>
    <mergeCell ref="A17:B17"/>
    <mergeCell ref="A21:B21"/>
    <mergeCell ref="A37:B37"/>
    <mergeCell ref="A60:B60"/>
    <mergeCell ref="A76:B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4" max="4" width="24.5"/>
  </cols>
  <sheetData>
    <row r="1">
      <c r="A1" s="1" t="s">
        <v>0</v>
      </c>
      <c r="B1" s="10">
        <v>0.73</v>
      </c>
      <c r="C1" s="1" t="s">
        <v>1</v>
      </c>
      <c r="D1" s="1"/>
      <c r="E1" s="2"/>
      <c r="F1" s="2"/>
      <c r="G1" s="21"/>
    </row>
    <row r="2">
      <c r="A2" s="7" t="s">
        <v>8</v>
      </c>
      <c r="B2" s="10">
        <f t="shared" ref="B2:B45" si="1">C2/C$45</f>
        <v>0.17486544</v>
      </c>
      <c r="C2" s="23">
        <v>1397.0</v>
      </c>
      <c r="D2" s="25"/>
      <c r="E2" s="13"/>
      <c r="F2" s="13"/>
      <c r="G2" s="26"/>
    </row>
    <row r="3">
      <c r="A3" s="7" t="s">
        <v>16</v>
      </c>
      <c r="B3" s="10">
        <f t="shared" si="1"/>
        <v>0.0902490925</v>
      </c>
      <c r="C3" s="25">
        <v>721.0</v>
      </c>
      <c r="D3" s="25"/>
      <c r="E3" s="13"/>
      <c r="F3" s="13"/>
      <c r="G3" s="26"/>
    </row>
    <row r="4">
      <c r="A4" s="7" t="s">
        <v>23</v>
      </c>
      <c r="B4" s="10">
        <f t="shared" si="1"/>
        <v>0.07247465265</v>
      </c>
      <c r="C4" s="25">
        <v>579.0</v>
      </c>
      <c r="D4" s="25"/>
      <c r="E4" s="13"/>
      <c r="F4" s="13"/>
      <c r="G4" s="26"/>
    </row>
    <row r="5">
      <c r="A5" s="7" t="s">
        <v>26</v>
      </c>
      <c r="B5" s="10">
        <f t="shared" si="1"/>
        <v>0.05833020403</v>
      </c>
      <c r="C5" s="25">
        <v>466.0</v>
      </c>
      <c r="D5" s="25"/>
      <c r="E5" s="13"/>
      <c r="F5" s="13"/>
      <c r="G5" s="26"/>
    </row>
    <row r="6">
      <c r="A6" s="7" t="s">
        <v>25</v>
      </c>
      <c r="B6" s="10">
        <f t="shared" si="1"/>
        <v>0.0579546877</v>
      </c>
      <c r="C6" s="25">
        <v>463.0</v>
      </c>
      <c r="D6" s="25"/>
      <c r="E6" s="13"/>
      <c r="F6" s="13"/>
      <c r="G6" s="26"/>
    </row>
    <row r="7">
      <c r="A7" s="7" t="s">
        <v>27</v>
      </c>
      <c r="B7" s="10">
        <f t="shared" si="1"/>
        <v>0.05732882714</v>
      </c>
      <c r="C7" s="25">
        <v>458.0</v>
      </c>
      <c r="D7" s="25"/>
      <c r="E7" s="13"/>
      <c r="F7" s="13"/>
      <c r="G7" s="26"/>
    </row>
    <row r="8">
      <c r="A8" s="7" t="s">
        <v>34</v>
      </c>
      <c r="B8" s="10">
        <f t="shared" si="1"/>
        <v>0.05557641757</v>
      </c>
      <c r="C8" s="25">
        <v>444.0</v>
      </c>
      <c r="D8" s="25"/>
      <c r="E8" s="13"/>
      <c r="F8" s="13"/>
      <c r="G8" s="26"/>
    </row>
    <row r="9">
      <c r="A9" s="7" t="s">
        <v>31</v>
      </c>
      <c r="B9" s="10">
        <f t="shared" si="1"/>
        <v>0.04919263988</v>
      </c>
      <c r="C9" s="25">
        <v>393.0</v>
      </c>
      <c r="D9" s="25"/>
      <c r="E9" s="13"/>
      <c r="F9" s="13"/>
      <c r="G9" s="26"/>
    </row>
    <row r="10">
      <c r="A10" s="7" t="s">
        <v>29</v>
      </c>
      <c r="B10" s="10">
        <f t="shared" si="1"/>
        <v>0.04781574665</v>
      </c>
      <c r="C10" s="25">
        <v>382.0</v>
      </c>
      <c r="D10" s="25"/>
      <c r="E10" s="13"/>
      <c r="F10" s="13"/>
      <c r="G10" s="26"/>
    </row>
    <row r="11">
      <c r="A11" s="7" t="s">
        <v>36</v>
      </c>
      <c r="B11" s="10">
        <f t="shared" si="1"/>
        <v>0.04243334585</v>
      </c>
      <c r="C11" s="25">
        <v>339.0</v>
      </c>
      <c r="D11" s="25"/>
      <c r="E11" s="13"/>
      <c r="F11" s="13"/>
      <c r="G11" s="26"/>
    </row>
    <row r="12">
      <c r="A12" s="7" t="s">
        <v>37</v>
      </c>
      <c r="B12" s="10">
        <f t="shared" si="1"/>
        <v>0.03417198648</v>
      </c>
      <c r="C12" s="25">
        <v>273.0</v>
      </c>
      <c r="D12" s="25"/>
      <c r="E12" s="13"/>
      <c r="F12" s="13"/>
      <c r="G12" s="26"/>
    </row>
    <row r="13">
      <c r="A13" s="7" t="s">
        <v>49</v>
      </c>
      <c r="B13" s="10">
        <f t="shared" si="1"/>
        <v>0.02741269245</v>
      </c>
      <c r="C13" s="25">
        <v>219.0</v>
      </c>
      <c r="D13" s="25"/>
      <c r="E13" s="13"/>
      <c r="F13" s="13"/>
      <c r="G13" s="26"/>
    </row>
    <row r="14">
      <c r="A14" s="7" t="s">
        <v>46</v>
      </c>
      <c r="B14" s="10">
        <f t="shared" si="1"/>
        <v>0.02566028289</v>
      </c>
      <c r="C14" s="25">
        <v>205.0</v>
      </c>
      <c r="D14" s="25"/>
      <c r="E14" s="13"/>
      <c r="F14" s="13"/>
      <c r="G14" s="26"/>
    </row>
    <row r="15">
      <c r="A15" s="7" t="s">
        <v>72</v>
      </c>
      <c r="B15" s="10">
        <f t="shared" si="1"/>
        <v>0.02553511078</v>
      </c>
      <c r="C15" s="25">
        <v>204.0</v>
      </c>
      <c r="D15" s="25"/>
      <c r="E15" s="13"/>
      <c r="F15" s="13"/>
      <c r="G15" s="26"/>
    </row>
    <row r="16">
      <c r="A16" s="7" t="s">
        <v>39</v>
      </c>
      <c r="B16" s="10">
        <f t="shared" si="1"/>
        <v>0.02490925022</v>
      </c>
      <c r="C16" s="25">
        <v>199.0</v>
      </c>
      <c r="D16" s="25"/>
      <c r="E16" s="13"/>
      <c r="F16" s="13"/>
      <c r="G16" s="26"/>
    </row>
    <row r="17">
      <c r="A17" s="7" t="s">
        <v>52</v>
      </c>
      <c r="B17" s="10">
        <f t="shared" si="1"/>
        <v>0.01627237451</v>
      </c>
      <c r="C17" s="25">
        <v>130.0</v>
      </c>
      <c r="D17" s="25"/>
      <c r="E17" s="13"/>
      <c r="F17" s="13"/>
      <c r="G17" s="26"/>
    </row>
    <row r="18">
      <c r="A18" s="7" t="s">
        <v>69</v>
      </c>
      <c r="B18" s="10">
        <f t="shared" si="1"/>
        <v>0.01376893228</v>
      </c>
      <c r="C18" s="25">
        <v>110.0</v>
      </c>
      <c r="D18" s="25"/>
      <c r="E18" s="13"/>
      <c r="F18" s="13"/>
      <c r="G18" s="26"/>
    </row>
    <row r="19">
      <c r="A19" s="7" t="s">
        <v>56</v>
      </c>
      <c r="B19" s="10">
        <f t="shared" si="1"/>
        <v>0.01226686694</v>
      </c>
      <c r="C19" s="25">
        <v>98.0</v>
      </c>
      <c r="D19" s="25"/>
      <c r="E19" s="13"/>
      <c r="F19" s="13"/>
      <c r="G19" s="26"/>
    </row>
    <row r="20">
      <c r="A20" s="7" t="s">
        <v>66</v>
      </c>
      <c r="B20" s="10">
        <f t="shared" si="1"/>
        <v>0.01226686694</v>
      </c>
      <c r="C20" s="25">
        <v>98.0</v>
      </c>
      <c r="D20" s="25"/>
      <c r="E20" s="13"/>
      <c r="F20" s="13"/>
      <c r="G20" s="26"/>
    </row>
    <row r="21">
      <c r="A21" s="7" t="s">
        <v>65</v>
      </c>
      <c r="B21" s="10">
        <f t="shared" si="1"/>
        <v>0.01164100638</v>
      </c>
      <c r="C21" s="25">
        <v>93.0</v>
      </c>
      <c r="D21" s="25"/>
      <c r="E21" s="13"/>
      <c r="F21" s="13"/>
      <c r="G21" s="26"/>
    </row>
    <row r="22">
      <c r="A22" s="7" t="s">
        <v>59</v>
      </c>
      <c r="B22" s="10">
        <f t="shared" si="1"/>
        <v>0.01151583427</v>
      </c>
      <c r="C22" s="25">
        <v>92.0</v>
      </c>
      <c r="D22" s="25"/>
      <c r="E22" s="13"/>
      <c r="F22" s="13"/>
      <c r="G22" s="26"/>
    </row>
    <row r="23">
      <c r="A23" s="7" t="s">
        <v>54</v>
      </c>
      <c r="B23" s="10">
        <f t="shared" si="1"/>
        <v>0.01001376893</v>
      </c>
      <c r="C23" s="25">
        <v>80.0</v>
      </c>
      <c r="D23" s="25"/>
      <c r="E23" s="13"/>
      <c r="F23" s="13"/>
      <c r="G23" s="26"/>
    </row>
    <row r="24">
      <c r="A24" s="7" t="s">
        <v>61</v>
      </c>
      <c r="B24" s="10">
        <f t="shared" si="1"/>
        <v>0.009262736262</v>
      </c>
      <c r="C24" s="25">
        <v>74.0</v>
      </c>
      <c r="D24" s="25"/>
      <c r="E24" s="31"/>
      <c r="F24" s="31"/>
      <c r="G24" s="26"/>
    </row>
    <row r="25">
      <c r="A25" s="7" t="s">
        <v>67</v>
      </c>
      <c r="B25" s="10">
        <f t="shared" si="1"/>
        <v>0.008511703592</v>
      </c>
      <c r="C25" s="25">
        <v>68.0</v>
      </c>
      <c r="D25" s="25"/>
      <c r="E25" s="13"/>
      <c r="F25" s="13"/>
      <c r="G25" s="26"/>
    </row>
    <row r="26">
      <c r="A26" s="7" t="s">
        <v>71</v>
      </c>
      <c r="B26" s="10">
        <f t="shared" si="1"/>
        <v>0.008386531481</v>
      </c>
      <c r="C26" s="25">
        <v>67.0</v>
      </c>
      <c r="D26" s="25"/>
      <c r="E26" s="13"/>
      <c r="F26" s="13"/>
      <c r="G26" s="26"/>
    </row>
    <row r="27">
      <c r="A27" s="7" t="s">
        <v>70</v>
      </c>
      <c r="B27" s="10">
        <f t="shared" si="1"/>
        <v>0.006759294029</v>
      </c>
      <c r="C27" s="25">
        <v>54.0</v>
      </c>
      <c r="D27" s="25"/>
      <c r="E27" s="13"/>
      <c r="F27" s="13"/>
      <c r="G27" s="26"/>
    </row>
    <row r="28">
      <c r="A28" s="7" t="s">
        <v>74</v>
      </c>
      <c r="B28" s="10">
        <f t="shared" si="1"/>
        <v>0.006759294029</v>
      </c>
      <c r="C28" s="25">
        <v>54.0</v>
      </c>
      <c r="D28" s="25"/>
      <c r="E28" s="31"/>
      <c r="F28" s="31"/>
      <c r="G28" s="26"/>
    </row>
    <row r="29">
      <c r="A29" s="7" t="s">
        <v>75</v>
      </c>
      <c r="B29" s="10">
        <f t="shared" si="1"/>
        <v>0.004255851796</v>
      </c>
      <c r="C29" s="25">
        <v>34.0</v>
      </c>
      <c r="D29" s="25"/>
      <c r="E29" s="13"/>
      <c r="F29" s="13"/>
      <c r="G29" s="26"/>
    </row>
    <row r="30">
      <c r="A30" s="7" t="s">
        <v>78</v>
      </c>
      <c r="B30" s="10">
        <f t="shared" si="1"/>
        <v>0.004005507573</v>
      </c>
      <c r="C30" s="25">
        <v>32.0</v>
      </c>
      <c r="D30" s="25"/>
      <c r="E30" s="31"/>
      <c r="F30" s="31"/>
      <c r="G30" s="26"/>
    </row>
    <row r="31">
      <c r="A31" s="7" t="s">
        <v>80</v>
      </c>
      <c r="B31" s="10">
        <f t="shared" si="1"/>
        <v>0.003629991238</v>
      </c>
      <c r="C31" s="25">
        <v>29.0</v>
      </c>
      <c r="D31" s="25"/>
      <c r="E31" s="31"/>
      <c r="F31" s="31"/>
      <c r="G31" s="26"/>
    </row>
    <row r="32">
      <c r="A32" s="7" t="s">
        <v>77</v>
      </c>
      <c r="B32" s="10">
        <f t="shared" si="1"/>
        <v>0.003504819126</v>
      </c>
      <c r="C32" s="25">
        <v>28.0</v>
      </c>
      <c r="D32" s="25"/>
      <c r="E32" s="31"/>
      <c r="F32" s="31"/>
      <c r="G32" s="26"/>
    </row>
    <row r="33">
      <c r="A33" s="7" t="s">
        <v>86</v>
      </c>
      <c r="B33" s="10">
        <f t="shared" si="1"/>
        <v>0.00300413068</v>
      </c>
      <c r="C33" s="25">
        <v>24.0</v>
      </c>
      <c r="D33" s="14"/>
      <c r="E33" s="32"/>
      <c r="F33" s="33"/>
      <c r="G33" s="26"/>
    </row>
    <row r="34">
      <c r="A34" s="7" t="s">
        <v>84</v>
      </c>
      <c r="B34" s="10">
        <f t="shared" si="1"/>
        <v>0.00225309801</v>
      </c>
      <c r="C34" s="25">
        <v>18.0</v>
      </c>
      <c r="D34" s="14"/>
      <c r="E34" s="32"/>
      <c r="F34" s="33"/>
      <c r="G34" s="26"/>
    </row>
    <row r="35">
      <c r="A35" s="7" t="s">
        <v>92</v>
      </c>
      <c r="B35" s="10">
        <f t="shared" si="1"/>
        <v>0.002127925898</v>
      </c>
      <c r="C35" s="25">
        <v>17.0</v>
      </c>
      <c r="D35" s="14"/>
      <c r="E35" s="32"/>
      <c r="F35" s="33"/>
      <c r="G35" s="26"/>
    </row>
    <row r="36">
      <c r="A36" s="7" t="s">
        <v>81</v>
      </c>
      <c r="B36" s="10">
        <f t="shared" si="1"/>
        <v>0.001752409563</v>
      </c>
      <c r="C36" s="25">
        <v>14.0</v>
      </c>
      <c r="D36" s="14"/>
      <c r="E36" s="32"/>
      <c r="F36" s="33"/>
      <c r="G36" s="26"/>
    </row>
    <row r="37">
      <c r="A37" s="7" t="s">
        <v>83</v>
      </c>
      <c r="B37" s="10">
        <f t="shared" si="1"/>
        <v>0.001627237451</v>
      </c>
      <c r="C37" s="25">
        <v>13.0</v>
      </c>
      <c r="D37" s="14"/>
      <c r="E37" s="32"/>
      <c r="F37" s="33"/>
      <c r="G37" s="26"/>
    </row>
    <row r="38">
      <c r="A38" s="7" t="s">
        <v>88</v>
      </c>
      <c r="B38" s="10">
        <f t="shared" si="1"/>
        <v>0.0008762047816</v>
      </c>
      <c r="C38" s="25">
        <v>7.0</v>
      </c>
      <c r="D38" s="14"/>
      <c r="E38" s="32"/>
      <c r="F38" s="33"/>
      <c r="G38" s="26"/>
    </row>
    <row r="39">
      <c r="A39" s="7" t="s">
        <v>91</v>
      </c>
      <c r="B39" s="10">
        <f t="shared" si="1"/>
        <v>0.0005006884466</v>
      </c>
      <c r="C39" s="25">
        <v>4.0</v>
      </c>
      <c r="D39" s="14"/>
      <c r="E39" s="32"/>
      <c r="F39" s="33"/>
      <c r="G39" s="26"/>
    </row>
    <row r="40">
      <c r="A40" s="7" t="s">
        <v>87</v>
      </c>
      <c r="B40" s="10">
        <f t="shared" si="1"/>
        <v>0.000375516335</v>
      </c>
      <c r="C40" s="25">
        <v>3.0</v>
      </c>
      <c r="D40" s="14"/>
      <c r="E40" s="32"/>
      <c r="F40" s="33"/>
      <c r="G40" s="26"/>
    </row>
    <row r="41">
      <c r="A41" s="7" t="s">
        <v>90</v>
      </c>
      <c r="B41" s="10">
        <f t="shared" si="1"/>
        <v>0.0002503442233</v>
      </c>
      <c r="C41" s="25">
        <v>2.0</v>
      </c>
      <c r="D41" s="14"/>
      <c r="E41" s="32"/>
      <c r="F41" s="33"/>
      <c r="G41" s="26"/>
    </row>
    <row r="42">
      <c r="A42" s="7" t="s">
        <v>108</v>
      </c>
      <c r="B42" s="10">
        <f t="shared" si="1"/>
        <v>0.0002503442233</v>
      </c>
      <c r="C42" s="25">
        <v>2.0</v>
      </c>
      <c r="D42" s="14"/>
      <c r="E42" s="32"/>
      <c r="F42" s="33"/>
      <c r="G42" s="26"/>
    </row>
    <row r="43">
      <c r="A43" s="7" t="s">
        <v>110</v>
      </c>
      <c r="B43" s="10">
        <f t="shared" si="1"/>
        <v>0.0001251721117</v>
      </c>
      <c r="C43" s="25">
        <v>1.0</v>
      </c>
      <c r="E43" s="32"/>
    </row>
    <row r="44">
      <c r="A44" s="7" t="s">
        <v>93</v>
      </c>
      <c r="B44" s="10">
        <f t="shared" si="1"/>
        <v>0.0001251721117</v>
      </c>
      <c r="C44" s="25">
        <v>1.0</v>
      </c>
      <c r="E44" s="13"/>
    </row>
    <row r="45">
      <c r="A45" s="7"/>
      <c r="B45" s="10">
        <f t="shared" si="1"/>
        <v>1</v>
      </c>
      <c r="C45" s="11">
        <f>SUM(C2:C44)</f>
        <v>7989</v>
      </c>
      <c r="E45" s="13"/>
    </row>
    <row r="46">
      <c r="B46" s="30"/>
      <c r="E46" s="29"/>
    </row>
    <row r="47">
      <c r="B47" s="30"/>
      <c r="E47" s="30"/>
    </row>
    <row r="48">
      <c r="B48" s="30"/>
      <c r="E48" s="30"/>
    </row>
    <row r="49">
      <c r="B49" s="30"/>
      <c r="E49" s="30"/>
    </row>
    <row r="50">
      <c r="B50" s="30"/>
      <c r="E50" s="30"/>
    </row>
    <row r="51">
      <c r="B51" s="30"/>
      <c r="E51" s="30"/>
    </row>
    <row r="52">
      <c r="B52" s="30"/>
      <c r="E52" s="30"/>
    </row>
    <row r="53">
      <c r="B53" s="30"/>
      <c r="E53" s="30"/>
    </row>
    <row r="54">
      <c r="B54" s="30"/>
      <c r="E54" s="30"/>
    </row>
    <row r="55">
      <c r="B55" s="30"/>
      <c r="E55" s="30"/>
    </row>
    <row r="56">
      <c r="B56" s="30"/>
      <c r="E56" s="30"/>
    </row>
    <row r="57">
      <c r="B57" s="30"/>
      <c r="E57" s="30"/>
    </row>
    <row r="58">
      <c r="B58" s="30"/>
      <c r="E58" s="30"/>
    </row>
    <row r="59">
      <c r="B59" s="30"/>
      <c r="E59" s="30"/>
    </row>
    <row r="60">
      <c r="B60" s="30"/>
      <c r="E60" s="30"/>
    </row>
    <row r="61">
      <c r="B61" s="30"/>
      <c r="E61" s="30"/>
    </row>
    <row r="62">
      <c r="B62" s="30"/>
      <c r="E62" s="30"/>
    </row>
    <row r="63">
      <c r="B63" s="30"/>
      <c r="E63" s="30"/>
    </row>
    <row r="64">
      <c r="B64" s="30"/>
      <c r="E64" s="30"/>
    </row>
    <row r="65">
      <c r="B65" s="30"/>
      <c r="E65" s="30"/>
    </row>
    <row r="66">
      <c r="B66" s="30"/>
      <c r="E66" s="30"/>
    </row>
    <row r="67">
      <c r="B67" s="30"/>
      <c r="E67" s="30"/>
    </row>
    <row r="68">
      <c r="B68" s="30"/>
      <c r="E68" s="30"/>
    </row>
    <row r="69">
      <c r="B69" s="30"/>
      <c r="E69" s="30"/>
    </row>
    <row r="70">
      <c r="B70" s="30"/>
      <c r="E70" s="30"/>
    </row>
    <row r="71">
      <c r="B71" s="30"/>
      <c r="E71" s="30"/>
    </row>
    <row r="72">
      <c r="B72" s="30"/>
      <c r="E72" s="30"/>
    </row>
    <row r="73">
      <c r="B73" s="30"/>
      <c r="E73" s="30"/>
    </row>
    <row r="74">
      <c r="B74" s="30"/>
      <c r="E74" s="30"/>
    </row>
    <row r="75">
      <c r="B75" s="30"/>
      <c r="E75" s="30"/>
    </row>
    <row r="76">
      <c r="B76" s="30"/>
      <c r="E76" s="30"/>
    </row>
    <row r="77">
      <c r="B77" s="30"/>
      <c r="E77" s="30"/>
    </row>
    <row r="78">
      <c r="B78" s="30"/>
      <c r="E78" s="30"/>
    </row>
    <row r="79">
      <c r="B79" s="30"/>
      <c r="E79" s="30"/>
    </row>
    <row r="80">
      <c r="B80" s="30"/>
      <c r="E80" s="30"/>
    </row>
    <row r="81">
      <c r="B81" s="30"/>
      <c r="E81" s="30"/>
    </row>
    <row r="82">
      <c r="B82" s="30"/>
      <c r="E82" s="30"/>
    </row>
    <row r="83">
      <c r="B83" s="30"/>
      <c r="E83" s="30"/>
    </row>
    <row r="84">
      <c r="B84" s="30"/>
      <c r="E84" s="30"/>
    </row>
    <row r="85">
      <c r="B85" s="30"/>
      <c r="E85" s="30"/>
    </row>
    <row r="86">
      <c r="B86" s="30"/>
      <c r="E86" s="30"/>
    </row>
    <row r="87">
      <c r="B87" s="30"/>
      <c r="E87" s="30"/>
    </row>
    <row r="88">
      <c r="B88" s="30"/>
      <c r="E88" s="30"/>
    </row>
    <row r="89">
      <c r="B89" s="30"/>
      <c r="E89" s="30"/>
    </row>
    <row r="90">
      <c r="B90" s="30"/>
      <c r="E90" s="30"/>
    </row>
    <row r="91">
      <c r="B91" s="30"/>
      <c r="E91" s="30"/>
    </row>
    <row r="92">
      <c r="B92" s="30"/>
      <c r="E92" s="30"/>
    </row>
    <row r="93">
      <c r="B93" s="30"/>
      <c r="E93" s="30"/>
    </row>
    <row r="94">
      <c r="B94" s="30"/>
      <c r="E94" s="30"/>
    </row>
    <row r="95">
      <c r="B95" s="30"/>
      <c r="E95" s="30"/>
    </row>
    <row r="96">
      <c r="B96" s="30"/>
      <c r="E96" s="30"/>
    </row>
    <row r="97">
      <c r="B97" s="30"/>
      <c r="E97" s="30"/>
    </row>
    <row r="98">
      <c r="B98" s="30"/>
      <c r="E98" s="30"/>
    </row>
    <row r="99">
      <c r="B99" s="30"/>
      <c r="E99" s="30"/>
    </row>
    <row r="100">
      <c r="B100" s="30"/>
      <c r="E100" s="30"/>
    </row>
    <row r="101">
      <c r="B101" s="30"/>
      <c r="E101" s="30"/>
    </row>
    <row r="102">
      <c r="B102" s="30"/>
      <c r="E102" s="30"/>
    </row>
    <row r="103">
      <c r="B103" s="30"/>
      <c r="E103" s="30"/>
    </row>
    <row r="104">
      <c r="B104" s="30"/>
      <c r="E104" s="30"/>
    </row>
    <row r="105">
      <c r="B105" s="30"/>
      <c r="E105" s="30"/>
    </row>
    <row r="106">
      <c r="B106" s="30"/>
      <c r="E106" s="30"/>
    </row>
    <row r="107">
      <c r="B107" s="30"/>
      <c r="E107" s="30"/>
    </row>
    <row r="108">
      <c r="B108" s="30"/>
      <c r="E108" s="30"/>
    </row>
    <row r="109">
      <c r="B109" s="30"/>
      <c r="E109" s="30"/>
    </row>
    <row r="110">
      <c r="B110" s="30"/>
      <c r="E110" s="30"/>
    </row>
    <row r="111">
      <c r="B111" s="30"/>
      <c r="E111" s="30"/>
    </row>
    <row r="112">
      <c r="B112" s="30"/>
      <c r="E112" s="30"/>
    </row>
    <row r="113">
      <c r="B113" s="30"/>
      <c r="E113" s="30"/>
    </row>
    <row r="114">
      <c r="B114" s="30"/>
      <c r="E114" s="30"/>
    </row>
    <row r="115">
      <c r="B115" s="30"/>
      <c r="E115" s="30"/>
    </row>
    <row r="116">
      <c r="B116" s="30"/>
      <c r="E116" s="30"/>
    </row>
    <row r="117">
      <c r="B117" s="30"/>
      <c r="E117" s="30"/>
    </row>
    <row r="118">
      <c r="B118" s="30"/>
      <c r="E118" s="30"/>
    </row>
    <row r="119">
      <c r="B119" s="30"/>
      <c r="E119" s="30"/>
    </row>
    <row r="120">
      <c r="B120" s="30"/>
      <c r="E120" s="30"/>
    </row>
    <row r="121">
      <c r="B121" s="30"/>
      <c r="E121" s="30"/>
    </row>
    <row r="122">
      <c r="B122" s="30"/>
      <c r="E122" s="30"/>
    </row>
    <row r="123">
      <c r="B123" s="30"/>
      <c r="E123" s="30"/>
    </row>
    <row r="124">
      <c r="B124" s="30"/>
      <c r="E124" s="30"/>
    </row>
    <row r="125">
      <c r="B125" s="30"/>
      <c r="E125" s="30"/>
    </row>
    <row r="126">
      <c r="B126" s="30"/>
      <c r="E126" s="30"/>
    </row>
    <row r="127">
      <c r="B127" s="30"/>
      <c r="E127" s="30"/>
    </row>
    <row r="128">
      <c r="B128" s="30"/>
      <c r="E128" s="30"/>
    </row>
    <row r="129">
      <c r="B129" s="30"/>
      <c r="E129" s="30"/>
    </row>
    <row r="130">
      <c r="B130" s="30"/>
      <c r="E130" s="30"/>
    </row>
    <row r="131">
      <c r="B131" s="30"/>
      <c r="E131" s="30"/>
    </row>
    <row r="132">
      <c r="B132" s="30"/>
      <c r="E132" s="30"/>
    </row>
    <row r="133">
      <c r="B133" s="30"/>
      <c r="E133" s="30"/>
    </row>
    <row r="134">
      <c r="B134" s="30"/>
      <c r="E134" s="30"/>
    </row>
    <row r="135">
      <c r="B135" s="30"/>
      <c r="E135" s="30"/>
    </row>
    <row r="136">
      <c r="B136" s="30"/>
      <c r="E136" s="30"/>
    </row>
    <row r="137">
      <c r="B137" s="30"/>
      <c r="E137" s="30"/>
    </row>
    <row r="138">
      <c r="B138" s="30"/>
      <c r="E138" s="30"/>
    </row>
    <row r="139">
      <c r="B139" s="30"/>
      <c r="E139" s="30"/>
    </row>
    <row r="140">
      <c r="B140" s="30"/>
      <c r="E140" s="30"/>
    </row>
    <row r="141">
      <c r="B141" s="30"/>
      <c r="E141" s="30"/>
    </row>
    <row r="142">
      <c r="B142" s="30"/>
      <c r="E142" s="30"/>
    </row>
    <row r="143">
      <c r="B143" s="30"/>
      <c r="E143" s="30"/>
    </row>
    <row r="144">
      <c r="B144" s="30"/>
      <c r="E144" s="30"/>
    </row>
    <row r="145">
      <c r="B145" s="30"/>
      <c r="E145" s="30"/>
    </row>
    <row r="146">
      <c r="B146" s="30"/>
      <c r="E146" s="30"/>
    </row>
    <row r="147">
      <c r="B147" s="30"/>
      <c r="E147" s="30"/>
    </row>
    <row r="148">
      <c r="B148" s="30"/>
      <c r="E148" s="30"/>
    </row>
    <row r="149">
      <c r="B149" s="30"/>
      <c r="E149" s="30"/>
    </row>
    <row r="150">
      <c r="B150" s="30"/>
      <c r="E150" s="30"/>
    </row>
    <row r="151">
      <c r="B151" s="30"/>
      <c r="E151" s="30"/>
    </row>
    <row r="152">
      <c r="B152" s="30"/>
      <c r="E152" s="30"/>
    </row>
    <row r="153">
      <c r="B153" s="30"/>
      <c r="E153" s="30"/>
    </row>
    <row r="154">
      <c r="B154" s="30"/>
      <c r="E154" s="30"/>
    </row>
    <row r="155">
      <c r="B155" s="30"/>
      <c r="E155" s="30"/>
    </row>
    <row r="156">
      <c r="B156" s="30"/>
      <c r="E156" s="30"/>
    </row>
    <row r="157">
      <c r="B157" s="30"/>
      <c r="E157" s="30"/>
    </row>
    <row r="158">
      <c r="B158" s="30"/>
      <c r="E158" s="30"/>
    </row>
    <row r="159">
      <c r="B159" s="30"/>
      <c r="E159" s="30"/>
    </row>
    <row r="160">
      <c r="B160" s="30"/>
      <c r="E160" s="30"/>
    </row>
    <row r="161">
      <c r="B161" s="30"/>
      <c r="E161" s="30"/>
    </row>
    <row r="162">
      <c r="B162" s="30"/>
      <c r="E162" s="30"/>
    </row>
    <row r="163">
      <c r="B163" s="30"/>
      <c r="E163" s="30"/>
    </row>
    <row r="164">
      <c r="B164" s="30"/>
      <c r="E164" s="30"/>
    </row>
    <row r="165">
      <c r="B165" s="30"/>
      <c r="E165" s="30"/>
    </row>
    <row r="166">
      <c r="B166" s="30"/>
      <c r="E166" s="30"/>
    </row>
    <row r="167">
      <c r="B167" s="30"/>
      <c r="E167" s="30"/>
    </row>
    <row r="168">
      <c r="B168" s="30"/>
      <c r="E168" s="30"/>
    </row>
    <row r="169">
      <c r="B169" s="30"/>
      <c r="E169" s="30"/>
    </row>
    <row r="170">
      <c r="B170" s="30"/>
      <c r="E170" s="30"/>
    </row>
    <row r="171">
      <c r="B171" s="30"/>
      <c r="E171" s="30"/>
    </row>
    <row r="172">
      <c r="B172" s="30"/>
      <c r="E172" s="30"/>
    </row>
    <row r="173">
      <c r="B173" s="30"/>
      <c r="E173" s="30"/>
    </row>
    <row r="174">
      <c r="B174" s="30"/>
      <c r="E174" s="30"/>
    </row>
    <row r="175">
      <c r="B175" s="30"/>
      <c r="E175" s="30"/>
    </row>
    <row r="176">
      <c r="B176" s="30"/>
      <c r="E176" s="30"/>
    </row>
    <row r="177">
      <c r="B177" s="30"/>
      <c r="E177" s="30"/>
    </row>
    <row r="178">
      <c r="B178" s="30"/>
      <c r="E178" s="30"/>
    </row>
    <row r="179">
      <c r="B179" s="30"/>
      <c r="E179" s="30"/>
    </row>
    <row r="180">
      <c r="B180" s="30"/>
      <c r="E180" s="30"/>
    </row>
    <row r="181">
      <c r="B181" s="30"/>
      <c r="E181" s="30"/>
    </row>
    <row r="182">
      <c r="B182" s="30"/>
      <c r="E182" s="30"/>
    </row>
    <row r="183">
      <c r="B183" s="30"/>
      <c r="E183" s="30"/>
    </row>
    <row r="184">
      <c r="B184" s="30"/>
      <c r="E184" s="30"/>
    </row>
    <row r="185">
      <c r="B185" s="30"/>
      <c r="E185" s="30"/>
    </row>
    <row r="186">
      <c r="B186" s="30"/>
      <c r="E186" s="30"/>
    </row>
    <row r="187">
      <c r="B187" s="30"/>
      <c r="E187" s="30"/>
    </row>
    <row r="188">
      <c r="B188" s="30"/>
      <c r="E188" s="30"/>
    </row>
    <row r="189">
      <c r="B189" s="30"/>
      <c r="E189" s="30"/>
    </row>
    <row r="190">
      <c r="B190" s="30"/>
      <c r="E190" s="30"/>
    </row>
    <row r="191">
      <c r="B191" s="30"/>
      <c r="E191" s="30"/>
    </row>
    <row r="192">
      <c r="B192" s="30"/>
      <c r="E192" s="30"/>
    </row>
    <row r="193">
      <c r="B193" s="30"/>
      <c r="E193" s="30"/>
    </row>
    <row r="194">
      <c r="B194" s="30"/>
      <c r="E194" s="30"/>
    </row>
    <row r="195">
      <c r="B195" s="30"/>
      <c r="E195" s="30"/>
    </row>
    <row r="196">
      <c r="B196" s="30"/>
      <c r="E196" s="30"/>
    </row>
    <row r="197">
      <c r="B197" s="30"/>
      <c r="E197" s="30"/>
    </row>
    <row r="198">
      <c r="B198" s="30"/>
      <c r="E198" s="30"/>
    </row>
    <row r="199">
      <c r="B199" s="30"/>
      <c r="E199" s="30"/>
    </row>
    <row r="200">
      <c r="B200" s="30"/>
      <c r="E200" s="30"/>
    </row>
    <row r="201">
      <c r="B201" s="30"/>
      <c r="E201" s="30"/>
    </row>
    <row r="202">
      <c r="B202" s="30"/>
      <c r="E202" s="30"/>
    </row>
    <row r="203">
      <c r="B203" s="30"/>
      <c r="E203" s="30"/>
    </row>
    <row r="204">
      <c r="B204" s="30"/>
      <c r="E204" s="30"/>
    </row>
    <row r="205">
      <c r="B205" s="30"/>
      <c r="E205" s="30"/>
    </row>
    <row r="206">
      <c r="B206" s="30"/>
      <c r="E206" s="30"/>
    </row>
    <row r="207">
      <c r="B207" s="30"/>
      <c r="E207" s="30"/>
    </row>
    <row r="208">
      <c r="B208" s="30"/>
      <c r="E208" s="30"/>
    </row>
    <row r="209">
      <c r="B209" s="30"/>
      <c r="E209" s="30"/>
    </row>
    <row r="210">
      <c r="B210" s="30"/>
      <c r="E210" s="30"/>
    </row>
    <row r="211">
      <c r="B211" s="30"/>
      <c r="E211" s="30"/>
    </row>
    <row r="212">
      <c r="B212" s="30"/>
      <c r="E212" s="30"/>
    </row>
    <row r="213">
      <c r="B213" s="30"/>
      <c r="E213" s="30"/>
    </row>
    <row r="214">
      <c r="B214" s="30"/>
      <c r="E214" s="30"/>
    </row>
    <row r="215">
      <c r="B215" s="30"/>
      <c r="E215" s="30"/>
    </row>
    <row r="216">
      <c r="B216" s="30"/>
      <c r="E216" s="30"/>
    </row>
    <row r="217">
      <c r="B217" s="30"/>
      <c r="E217" s="30"/>
    </row>
    <row r="218">
      <c r="B218" s="30"/>
      <c r="E218" s="30"/>
    </row>
    <row r="219">
      <c r="B219" s="30"/>
      <c r="E219" s="30"/>
    </row>
    <row r="220">
      <c r="B220" s="30"/>
      <c r="E220" s="30"/>
    </row>
    <row r="221">
      <c r="B221" s="30"/>
      <c r="E221" s="30"/>
    </row>
    <row r="222">
      <c r="B222" s="30"/>
      <c r="E222" s="30"/>
    </row>
    <row r="223">
      <c r="B223" s="30"/>
      <c r="E223" s="30"/>
    </row>
    <row r="224">
      <c r="B224" s="30"/>
      <c r="E224" s="30"/>
    </row>
    <row r="225">
      <c r="B225" s="30"/>
      <c r="E225" s="30"/>
    </row>
    <row r="226">
      <c r="B226" s="30"/>
      <c r="E226" s="30"/>
    </row>
    <row r="227">
      <c r="B227" s="30"/>
      <c r="E227" s="30"/>
    </row>
    <row r="228">
      <c r="B228" s="30"/>
      <c r="E228" s="30"/>
    </row>
    <row r="229">
      <c r="B229" s="30"/>
      <c r="E229" s="30"/>
    </row>
    <row r="230">
      <c r="B230" s="30"/>
      <c r="E230" s="30"/>
    </row>
    <row r="231">
      <c r="B231" s="30"/>
      <c r="E231" s="30"/>
    </row>
    <row r="232">
      <c r="B232" s="30"/>
      <c r="E232" s="30"/>
    </row>
    <row r="233">
      <c r="B233" s="30"/>
      <c r="E233" s="30"/>
    </row>
    <row r="234">
      <c r="B234" s="30"/>
      <c r="E234" s="30"/>
    </row>
    <row r="235">
      <c r="B235" s="30"/>
      <c r="E235" s="30"/>
    </row>
    <row r="236">
      <c r="B236" s="30"/>
      <c r="E236" s="30"/>
    </row>
    <row r="237">
      <c r="B237" s="30"/>
      <c r="E237" s="30"/>
    </row>
    <row r="238">
      <c r="B238" s="30"/>
      <c r="E238" s="30"/>
    </row>
    <row r="239">
      <c r="B239" s="30"/>
      <c r="E239" s="30"/>
    </row>
    <row r="240">
      <c r="B240" s="30"/>
      <c r="E240" s="30"/>
    </row>
    <row r="241">
      <c r="B241" s="30"/>
      <c r="E241" s="30"/>
    </row>
    <row r="242">
      <c r="B242" s="30"/>
      <c r="E242" s="30"/>
    </row>
    <row r="243">
      <c r="B243" s="30"/>
      <c r="E243" s="30"/>
    </row>
    <row r="244">
      <c r="B244" s="30"/>
      <c r="E244" s="30"/>
    </row>
    <row r="245">
      <c r="B245" s="30"/>
      <c r="E245" s="30"/>
    </row>
    <row r="246">
      <c r="B246" s="30"/>
      <c r="E246" s="30"/>
    </row>
    <row r="247">
      <c r="B247" s="30"/>
      <c r="E247" s="30"/>
    </row>
    <row r="248">
      <c r="B248" s="30"/>
      <c r="E248" s="30"/>
    </row>
    <row r="249">
      <c r="B249" s="30"/>
      <c r="E249" s="30"/>
    </row>
    <row r="250">
      <c r="B250" s="30"/>
      <c r="E250" s="30"/>
    </row>
    <row r="251">
      <c r="B251" s="30"/>
      <c r="E251" s="30"/>
    </row>
    <row r="252">
      <c r="B252" s="30"/>
      <c r="E252" s="30"/>
    </row>
    <row r="253">
      <c r="B253" s="30"/>
      <c r="E253" s="30"/>
    </row>
    <row r="254">
      <c r="B254" s="30"/>
      <c r="E254" s="30"/>
    </row>
    <row r="255">
      <c r="B255" s="30"/>
      <c r="E255" s="30"/>
    </row>
    <row r="256">
      <c r="B256" s="30"/>
      <c r="E256" s="30"/>
    </row>
    <row r="257">
      <c r="B257" s="30"/>
      <c r="E257" s="30"/>
    </row>
    <row r="258">
      <c r="B258" s="30"/>
      <c r="E258" s="30"/>
    </row>
    <row r="259">
      <c r="B259" s="30"/>
      <c r="E259" s="30"/>
    </row>
    <row r="260">
      <c r="B260" s="30"/>
      <c r="E260" s="30"/>
    </row>
    <row r="261">
      <c r="B261" s="30"/>
      <c r="E261" s="30"/>
    </row>
    <row r="262">
      <c r="B262" s="30"/>
      <c r="E262" s="30"/>
    </row>
    <row r="263">
      <c r="B263" s="30"/>
      <c r="E263" s="30"/>
    </row>
    <row r="264">
      <c r="B264" s="30"/>
      <c r="E264" s="30"/>
    </row>
    <row r="265">
      <c r="B265" s="30"/>
      <c r="E265" s="30"/>
    </row>
    <row r="266">
      <c r="B266" s="30"/>
      <c r="E266" s="30"/>
    </row>
    <row r="267">
      <c r="B267" s="30"/>
      <c r="E267" s="30"/>
    </row>
    <row r="268">
      <c r="B268" s="30"/>
      <c r="E268" s="30"/>
    </row>
    <row r="269">
      <c r="B269" s="30"/>
      <c r="E269" s="30"/>
    </row>
    <row r="270">
      <c r="B270" s="30"/>
      <c r="E270" s="30"/>
    </row>
    <row r="271">
      <c r="B271" s="30"/>
      <c r="E271" s="30"/>
    </row>
    <row r="272">
      <c r="B272" s="30"/>
      <c r="E272" s="30"/>
    </row>
    <row r="273">
      <c r="B273" s="30"/>
      <c r="E273" s="30"/>
    </row>
    <row r="274">
      <c r="B274" s="30"/>
      <c r="E274" s="30"/>
    </row>
    <row r="275">
      <c r="B275" s="30"/>
      <c r="E275" s="30"/>
    </row>
    <row r="276">
      <c r="B276" s="30"/>
      <c r="E276" s="30"/>
    </row>
    <row r="277">
      <c r="B277" s="30"/>
      <c r="E277" s="30"/>
    </row>
    <row r="278">
      <c r="B278" s="30"/>
      <c r="E278" s="30"/>
    </row>
    <row r="279">
      <c r="B279" s="30"/>
      <c r="E279" s="30"/>
    </row>
    <row r="280">
      <c r="B280" s="30"/>
      <c r="E280" s="30"/>
    </row>
    <row r="281">
      <c r="B281" s="30"/>
      <c r="E281" s="30"/>
    </row>
    <row r="282">
      <c r="B282" s="30"/>
      <c r="E282" s="30"/>
    </row>
    <row r="283">
      <c r="B283" s="30"/>
      <c r="E283" s="30"/>
    </row>
    <row r="284">
      <c r="B284" s="30"/>
      <c r="E284" s="30"/>
    </row>
    <row r="285">
      <c r="B285" s="30"/>
      <c r="E285" s="30"/>
    </row>
    <row r="286">
      <c r="B286" s="30"/>
      <c r="E286" s="30"/>
    </row>
    <row r="287">
      <c r="B287" s="30"/>
      <c r="E287" s="30"/>
    </row>
    <row r="288">
      <c r="B288" s="30"/>
      <c r="E288" s="30"/>
    </row>
    <row r="289">
      <c r="B289" s="30"/>
      <c r="E289" s="30"/>
    </row>
    <row r="290">
      <c r="B290" s="30"/>
      <c r="E290" s="30"/>
    </row>
    <row r="291">
      <c r="B291" s="30"/>
      <c r="E291" s="30"/>
    </row>
    <row r="292">
      <c r="B292" s="30"/>
      <c r="E292" s="30"/>
    </row>
    <row r="293">
      <c r="B293" s="30"/>
      <c r="E293" s="30"/>
    </row>
    <row r="294">
      <c r="B294" s="30"/>
      <c r="E294" s="30"/>
    </row>
    <row r="295">
      <c r="B295" s="30"/>
      <c r="E295" s="30"/>
    </row>
    <row r="296">
      <c r="B296" s="30"/>
      <c r="E296" s="30"/>
    </row>
    <row r="297">
      <c r="B297" s="30"/>
      <c r="E297" s="30"/>
    </row>
    <row r="298">
      <c r="B298" s="30"/>
      <c r="E298" s="30"/>
    </row>
    <row r="299">
      <c r="B299" s="30"/>
      <c r="E299" s="30"/>
    </row>
    <row r="300">
      <c r="B300" s="30"/>
      <c r="E300" s="30"/>
    </row>
    <row r="301">
      <c r="B301" s="30"/>
      <c r="E301" s="30"/>
    </row>
    <row r="302">
      <c r="B302" s="30"/>
      <c r="E302" s="30"/>
    </row>
    <row r="303">
      <c r="B303" s="30"/>
      <c r="E303" s="30"/>
    </row>
    <row r="304">
      <c r="B304" s="30"/>
      <c r="E304" s="30"/>
    </row>
    <row r="305">
      <c r="B305" s="30"/>
      <c r="E305" s="30"/>
    </row>
    <row r="306">
      <c r="B306" s="30"/>
      <c r="E306" s="30"/>
    </row>
    <row r="307">
      <c r="B307" s="30"/>
      <c r="E307" s="30"/>
    </row>
    <row r="308">
      <c r="B308" s="30"/>
      <c r="E308" s="30"/>
    </row>
    <row r="309">
      <c r="B309" s="30"/>
      <c r="E309" s="30"/>
    </row>
    <row r="310">
      <c r="B310" s="30"/>
      <c r="E310" s="30"/>
    </row>
    <row r="311">
      <c r="B311" s="30"/>
      <c r="E311" s="30"/>
    </row>
    <row r="312">
      <c r="B312" s="30"/>
      <c r="E312" s="30"/>
    </row>
    <row r="313">
      <c r="B313" s="30"/>
      <c r="E313" s="30"/>
    </row>
    <row r="314">
      <c r="B314" s="30"/>
      <c r="E314" s="30"/>
    </row>
    <row r="315">
      <c r="B315" s="30"/>
      <c r="E315" s="30"/>
    </row>
    <row r="316">
      <c r="B316" s="30"/>
      <c r="E316" s="30"/>
    </row>
    <row r="317">
      <c r="B317" s="30"/>
      <c r="E317" s="30"/>
    </row>
    <row r="318">
      <c r="B318" s="30"/>
      <c r="E318" s="30"/>
    </row>
    <row r="319">
      <c r="B319" s="30"/>
      <c r="E319" s="30"/>
    </row>
    <row r="320">
      <c r="B320" s="30"/>
      <c r="E320" s="30"/>
    </row>
    <row r="321">
      <c r="B321" s="30"/>
      <c r="E321" s="30"/>
    </row>
    <row r="322">
      <c r="B322" s="30"/>
      <c r="E322" s="30"/>
    </row>
    <row r="323">
      <c r="B323" s="30"/>
      <c r="E323" s="30"/>
    </row>
    <row r="324">
      <c r="B324" s="30"/>
      <c r="E324" s="30"/>
    </row>
    <row r="325">
      <c r="B325" s="30"/>
      <c r="E325" s="30"/>
    </row>
    <row r="326">
      <c r="B326" s="30"/>
      <c r="E326" s="30"/>
    </row>
    <row r="327">
      <c r="B327" s="30"/>
      <c r="E327" s="30"/>
    </row>
    <row r="328">
      <c r="B328" s="30"/>
      <c r="E328" s="30"/>
    </row>
    <row r="329">
      <c r="B329" s="30"/>
      <c r="E329" s="30"/>
    </row>
    <row r="330">
      <c r="B330" s="30"/>
      <c r="E330" s="30"/>
    </row>
    <row r="331">
      <c r="B331" s="30"/>
      <c r="E331" s="30"/>
    </row>
    <row r="332">
      <c r="B332" s="30"/>
      <c r="E332" s="30"/>
    </row>
    <row r="333">
      <c r="B333" s="30"/>
      <c r="E333" s="30"/>
    </row>
    <row r="334">
      <c r="B334" s="30"/>
      <c r="E334" s="30"/>
    </row>
    <row r="335">
      <c r="B335" s="30"/>
      <c r="E335" s="30"/>
    </row>
    <row r="336">
      <c r="B336" s="30"/>
      <c r="E336" s="30"/>
    </row>
    <row r="337">
      <c r="B337" s="30"/>
      <c r="E337" s="30"/>
    </row>
    <row r="338">
      <c r="B338" s="30"/>
      <c r="E338" s="30"/>
    </row>
    <row r="339">
      <c r="B339" s="30"/>
      <c r="E339" s="30"/>
    </row>
    <row r="340">
      <c r="B340" s="30"/>
      <c r="E340" s="30"/>
    </row>
    <row r="341">
      <c r="B341" s="30"/>
      <c r="E341" s="30"/>
    </row>
    <row r="342">
      <c r="B342" s="30"/>
      <c r="E342" s="30"/>
    </row>
    <row r="343">
      <c r="B343" s="30"/>
      <c r="E343" s="30"/>
    </row>
    <row r="344">
      <c r="B344" s="30"/>
      <c r="E344" s="30"/>
    </row>
    <row r="345">
      <c r="B345" s="30"/>
      <c r="E345" s="30"/>
    </row>
    <row r="346">
      <c r="B346" s="30"/>
      <c r="E346" s="30"/>
    </row>
    <row r="347">
      <c r="B347" s="30"/>
      <c r="E347" s="30"/>
    </row>
    <row r="348">
      <c r="B348" s="30"/>
      <c r="E348" s="30"/>
    </row>
    <row r="349">
      <c r="B349" s="30"/>
      <c r="E349" s="30"/>
    </row>
    <row r="350">
      <c r="B350" s="30"/>
      <c r="E350" s="30"/>
    </row>
    <row r="351">
      <c r="B351" s="30"/>
      <c r="E351" s="30"/>
    </row>
    <row r="352">
      <c r="B352" s="30"/>
      <c r="E352" s="30"/>
    </row>
    <row r="353">
      <c r="B353" s="30"/>
      <c r="E353" s="30"/>
    </row>
    <row r="354">
      <c r="B354" s="30"/>
      <c r="E354" s="30"/>
    </row>
    <row r="355">
      <c r="B355" s="30"/>
      <c r="E355" s="30"/>
    </row>
    <row r="356">
      <c r="B356" s="30"/>
      <c r="E356" s="30"/>
    </row>
    <row r="357">
      <c r="B357" s="30"/>
      <c r="E357" s="30"/>
    </row>
    <row r="358">
      <c r="B358" s="30"/>
      <c r="E358" s="30"/>
    </row>
    <row r="359">
      <c r="B359" s="30"/>
      <c r="E359" s="30"/>
    </row>
    <row r="360">
      <c r="B360" s="30"/>
      <c r="E360" s="30"/>
    </row>
    <row r="361">
      <c r="B361" s="30"/>
      <c r="E361" s="30"/>
    </row>
    <row r="362">
      <c r="B362" s="30"/>
      <c r="E362" s="30"/>
    </row>
    <row r="363">
      <c r="B363" s="30"/>
      <c r="E363" s="30"/>
    </row>
    <row r="364">
      <c r="B364" s="30"/>
      <c r="E364" s="30"/>
    </row>
    <row r="365">
      <c r="B365" s="30"/>
      <c r="E365" s="30"/>
    </row>
    <row r="366">
      <c r="B366" s="30"/>
      <c r="E366" s="30"/>
    </row>
    <row r="367">
      <c r="B367" s="30"/>
      <c r="E367" s="30"/>
    </row>
    <row r="368">
      <c r="B368" s="30"/>
      <c r="E368" s="30"/>
    </row>
    <row r="369">
      <c r="B369" s="30"/>
      <c r="E369" s="30"/>
    </row>
    <row r="370">
      <c r="B370" s="30"/>
      <c r="E370" s="30"/>
    </row>
    <row r="371">
      <c r="B371" s="30"/>
      <c r="E371" s="30"/>
    </row>
    <row r="372">
      <c r="B372" s="30"/>
      <c r="E372" s="30"/>
    </row>
    <row r="373">
      <c r="B373" s="30"/>
      <c r="E373" s="30"/>
    </row>
    <row r="374">
      <c r="B374" s="30"/>
      <c r="E374" s="30"/>
    </row>
    <row r="375">
      <c r="B375" s="30"/>
      <c r="E375" s="30"/>
    </row>
    <row r="376">
      <c r="B376" s="30"/>
      <c r="E376" s="30"/>
    </row>
    <row r="377">
      <c r="B377" s="30"/>
      <c r="E377" s="30"/>
    </row>
    <row r="378">
      <c r="B378" s="30"/>
      <c r="E378" s="30"/>
    </row>
    <row r="379">
      <c r="B379" s="30"/>
      <c r="E379" s="30"/>
    </row>
    <row r="380">
      <c r="B380" s="30"/>
      <c r="E380" s="30"/>
    </row>
    <row r="381">
      <c r="B381" s="30"/>
      <c r="E381" s="30"/>
    </row>
    <row r="382">
      <c r="B382" s="30"/>
      <c r="E382" s="30"/>
    </row>
    <row r="383">
      <c r="B383" s="30"/>
      <c r="E383" s="30"/>
    </row>
    <row r="384">
      <c r="B384" s="30"/>
      <c r="E384" s="30"/>
    </row>
    <row r="385">
      <c r="B385" s="30"/>
      <c r="E385" s="30"/>
    </row>
    <row r="386">
      <c r="B386" s="30"/>
      <c r="E386" s="30"/>
    </row>
    <row r="387">
      <c r="B387" s="30"/>
      <c r="E387" s="30"/>
    </row>
    <row r="388">
      <c r="B388" s="30"/>
      <c r="E388" s="30"/>
    </row>
    <row r="389">
      <c r="B389" s="30"/>
      <c r="E389" s="30"/>
    </row>
    <row r="390">
      <c r="B390" s="30"/>
      <c r="E390" s="30"/>
    </row>
    <row r="391">
      <c r="B391" s="30"/>
      <c r="E391" s="30"/>
    </row>
    <row r="392">
      <c r="B392" s="30"/>
      <c r="E392" s="30"/>
    </row>
    <row r="393">
      <c r="B393" s="30"/>
      <c r="E393" s="30"/>
    </row>
    <row r="394">
      <c r="B394" s="30"/>
      <c r="E394" s="30"/>
    </row>
    <row r="395">
      <c r="B395" s="30"/>
      <c r="E395" s="30"/>
    </row>
    <row r="396">
      <c r="B396" s="30"/>
      <c r="E396" s="30"/>
    </row>
    <row r="397">
      <c r="B397" s="30"/>
      <c r="E397" s="30"/>
    </row>
    <row r="398">
      <c r="B398" s="30"/>
      <c r="E398" s="30"/>
    </row>
    <row r="399">
      <c r="B399" s="30"/>
      <c r="E399" s="30"/>
    </row>
    <row r="400">
      <c r="B400" s="30"/>
      <c r="E400" s="30"/>
    </row>
    <row r="401">
      <c r="B401" s="30"/>
      <c r="E401" s="30"/>
    </row>
    <row r="402">
      <c r="B402" s="30"/>
      <c r="E402" s="30"/>
    </row>
    <row r="403">
      <c r="B403" s="30"/>
      <c r="E403" s="30"/>
    </row>
    <row r="404">
      <c r="B404" s="30"/>
      <c r="E404" s="30"/>
    </row>
    <row r="405">
      <c r="B405" s="30"/>
      <c r="E405" s="30"/>
    </row>
    <row r="406">
      <c r="B406" s="30"/>
      <c r="E406" s="30"/>
    </row>
    <row r="407">
      <c r="B407" s="30"/>
      <c r="E407" s="30"/>
    </row>
    <row r="408">
      <c r="B408" s="30"/>
      <c r="E408" s="30"/>
    </row>
    <row r="409">
      <c r="B409" s="30"/>
      <c r="E409" s="30"/>
    </row>
    <row r="410">
      <c r="B410" s="30"/>
      <c r="E410" s="30"/>
    </row>
    <row r="411">
      <c r="B411" s="30"/>
      <c r="E411" s="30"/>
    </row>
    <row r="412">
      <c r="B412" s="30"/>
      <c r="E412" s="30"/>
    </row>
    <row r="413">
      <c r="B413" s="30"/>
      <c r="E413" s="30"/>
    </row>
    <row r="414">
      <c r="B414" s="30"/>
      <c r="E414" s="30"/>
    </row>
    <row r="415">
      <c r="B415" s="30"/>
      <c r="E415" s="30"/>
    </row>
    <row r="416">
      <c r="B416" s="30"/>
      <c r="E416" s="30"/>
    </row>
    <row r="417">
      <c r="B417" s="30"/>
      <c r="E417" s="30"/>
    </row>
    <row r="418">
      <c r="B418" s="30"/>
      <c r="E418" s="30"/>
    </row>
    <row r="419">
      <c r="B419" s="30"/>
      <c r="E419" s="30"/>
    </row>
    <row r="420">
      <c r="B420" s="30"/>
      <c r="E420" s="30"/>
    </row>
    <row r="421">
      <c r="B421" s="30"/>
      <c r="E421" s="30"/>
    </row>
    <row r="422">
      <c r="B422" s="30"/>
      <c r="E422" s="30"/>
    </row>
    <row r="423">
      <c r="B423" s="30"/>
      <c r="E423" s="30"/>
    </row>
    <row r="424">
      <c r="B424" s="30"/>
      <c r="E424" s="30"/>
    </row>
    <row r="425">
      <c r="B425" s="30"/>
      <c r="E425" s="30"/>
    </row>
    <row r="426">
      <c r="B426" s="30"/>
      <c r="E426" s="30"/>
    </row>
    <row r="427">
      <c r="B427" s="30"/>
      <c r="E427" s="30"/>
    </row>
    <row r="428">
      <c r="B428" s="30"/>
      <c r="E428" s="30"/>
    </row>
    <row r="429">
      <c r="B429" s="30"/>
      <c r="E429" s="30"/>
    </row>
    <row r="430">
      <c r="B430" s="30"/>
      <c r="E430" s="30"/>
    </row>
    <row r="431">
      <c r="B431" s="30"/>
      <c r="E431" s="30"/>
    </row>
    <row r="432">
      <c r="B432" s="30"/>
      <c r="E432" s="30"/>
    </row>
    <row r="433">
      <c r="B433" s="30"/>
      <c r="E433" s="30"/>
    </row>
    <row r="434">
      <c r="B434" s="30"/>
      <c r="E434" s="30"/>
    </row>
    <row r="435">
      <c r="B435" s="30"/>
      <c r="E435" s="30"/>
    </row>
    <row r="436">
      <c r="B436" s="30"/>
      <c r="E436" s="30"/>
    </row>
    <row r="437">
      <c r="B437" s="30"/>
      <c r="E437" s="30"/>
    </row>
    <row r="438">
      <c r="B438" s="30"/>
      <c r="E438" s="30"/>
    </row>
    <row r="439">
      <c r="B439" s="30"/>
      <c r="E439" s="30"/>
    </row>
    <row r="440">
      <c r="B440" s="30"/>
      <c r="E440" s="30"/>
    </row>
    <row r="441">
      <c r="B441" s="30"/>
      <c r="E441" s="30"/>
    </row>
    <row r="442">
      <c r="B442" s="30"/>
      <c r="E442" s="30"/>
    </row>
    <row r="443">
      <c r="B443" s="30"/>
      <c r="E443" s="30"/>
    </row>
    <row r="444">
      <c r="B444" s="30"/>
      <c r="E444" s="30"/>
    </row>
    <row r="445">
      <c r="B445" s="30"/>
      <c r="E445" s="30"/>
    </row>
    <row r="446">
      <c r="B446" s="30"/>
      <c r="E446" s="30"/>
    </row>
    <row r="447">
      <c r="B447" s="30"/>
      <c r="E447" s="30"/>
    </row>
    <row r="448">
      <c r="B448" s="30"/>
      <c r="E448" s="30"/>
    </row>
    <row r="449">
      <c r="B449" s="30"/>
      <c r="E449" s="30"/>
    </row>
    <row r="450">
      <c r="B450" s="30"/>
      <c r="E450" s="30"/>
    </row>
    <row r="451">
      <c r="B451" s="30"/>
      <c r="E451" s="30"/>
    </row>
    <row r="452">
      <c r="B452" s="30"/>
      <c r="E452" s="30"/>
    </row>
    <row r="453">
      <c r="B453" s="30"/>
      <c r="E453" s="30"/>
    </row>
    <row r="454">
      <c r="B454" s="30"/>
      <c r="E454" s="30"/>
    </row>
    <row r="455">
      <c r="B455" s="30"/>
      <c r="E455" s="30"/>
    </row>
    <row r="456">
      <c r="B456" s="30"/>
      <c r="E456" s="30"/>
    </row>
    <row r="457">
      <c r="B457" s="30"/>
      <c r="E457" s="30"/>
    </row>
    <row r="458">
      <c r="B458" s="30"/>
      <c r="E458" s="30"/>
    </row>
    <row r="459">
      <c r="B459" s="30"/>
      <c r="E459" s="30"/>
    </row>
    <row r="460">
      <c r="B460" s="30"/>
      <c r="E460" s="30"/>
    </row>
    <row r="461">
      <c r="B461" s="30"/>
      <c r="E461" s="30"/>
    </row>
    <row r="462">
      <c r="B462" s="30"/>
      <c r="E462" s="30"/>
    </row>
    <row r="463">
      <c r="B463" s="30"/>
      <c r="E463" s="30"/>
    </row>
    <row r="464">
      <c r="B464" s="30"/>
      <c r="E464" s="30"/>
    </row>
    <row r="465">
      <c r="B465" s="30"/>
      <c r="E465" s="30"/>
    </row>
    <row r="466">
      <c r="B466" s="30"/>
      <c r="E466" s="30"/>
    </row>
    <row r="467">
      <c r="B467" s="30"/>
      <c r="E467" s="30"/>
    </row>
    <row r="468">
      <c r="B468" s="30"/>
      <c r="E468" s="30"/>
    </row>
    <row r="469">
      <c r="B469" s="30"/>
      <c r="E469" s="30"/>
    </row>
    <row r="470">
      <c r="B470" s="30"/>
      <c r="E470" s="30"/>
    </row>
    <row r="471">
      <c r="B471" s="30"/>
      <c r="E471" s="30"/>
    </row>
    <row r="472">
      <c r="B472" s="30"/>
      <c r="E472" s="30"/>
    </row>
    <row r="473">
      <c r="B473" s="30"/>
      <c r="E473" s="30"/>
    </row>
    <row r="474">
      <c r="B474" s="30"/>
      <c r="E474" s="30"/>
    </row>
    <row r="475">
      <c r="B475" s="30"/>
      <c r="E475" s="30"/>
    </row>
    <row r="476">
      <c r="B476" s="30"/>
      <c r="E476" s="30"/>
    </row>
    <row r="477">
      <c r="B477" s="30"/>
      <c r="E477" s="30"/>
    </row>
    <row r="478">
      <c r="B478" s="30"/>
      <c r="E478" s="30"/>
    </row>
    <row r="479">
      <c r="B479" s="30"/>
      <c r="E479" s="30"/>
    </row>
    <row r="480">
      <c r="B480" s="30"/>
      <c r="E480" s="30"/>
    </row>
    <row r="481">
      <c r="B481" s="30"/>
      <c r="E481" s="30"/>
    </row>
    <row r="482">
      <c r="B482" s="30"/>
      <c r="E482" s="30"/>
    </row>
    <row r="483">
      <c r="B483" s="30"/>
      <c r="E483" s="30"/>
    </row>
    <row r="484">
      <c r="B484" s="30"/>
      <c r="E484" s="30"/>
    </row>
    <row r="485">
      <c r="B485" s="30"/>
      <c r="E485" s="30"/>
    </row>
    <row r="486">
      <c r="B486" s="30"/>
      <c r="E486" s="30"/>
    </row>
    <row r="487">
      <c r="B487" s="30"/>
      <c r="E487" s="30"/>
    </row>
    <row r="488">
      <c r="B488" s="30"/>
      <c r="E488" s="30"/>
    </row>
    <row r="489">
      <c r="B489" s="30"/>
      <c r="E489" s="30"/>
    </row>
    <row r="490">
      <c r="B490" s="30"/>
      <c r="E490" s="30"/>
    </row>
    <row r="491">
      <c r="B491" s="30"/>
      <c r="E491" s="30"/>
    </row>
    <row r="492">
      <c r="B492" s="30"/>
      <c r="E492" s="30"/>
    </row>
    <row r="493">
      <c r="B493" s="30"/>
      <c r="E493" s="30"/>
    </row>
    <row r="494">
      <c r="B494" s="30"/>
      <c r="E494" s="30"/>
    </row>
    <row r="495">
      <c r="B495" s="30"/>
      <c r="E495" s="30"/>
    </row>
    <row r="496">
      <c r="B496" s="30"/>
      <c r="E496" s="30"/>
    </row>
    <row r="497">
      <c r="B497" s="30"/>
      <c r="E497" s="30"/>
    </row>
    <row r="498">
      <c r="B498" s="30"/>
      <c r="E498" s="30"/>
    </row>
    <row r="499">
      <c r="B499" s="30"/>
      <c r="E499" s="30"/>
    </row>
    <row r="500">
      <c r="B500" s="30"/>
      <c r="E500" s="30"/>
    </row>
    <row r="501">
      <c r="B501" s="30"/>
      <c r="E501" s="30"/>
    </row>
    <row r="502">
      <c r="B502" s="30"/>
      <c r="E502" s="30"/>
    </row>
    <row r="503">
      <c r="B503" s="30"/>
      <c r="E503" s="30"/>
    </row>
    <row r="504">
      <c r="B504" s="30"/>
      <c r="E504" s="30"/>
    </row>
    <row r="505">
      <c r="B505" s="30"/>
      <c r="E505" s="30"/>
    </row>
    <row r="506">
      <c r="B506" s="30"/>
      <c r="E506" s="30"/>
    </row>
    <row r="507">
      <c r="B507" s="30"/>
      <c r="E507" s="30"/>
    </row>
    <row r="508">
      <c r="B508" s="30"/>
      <c r="E508" s="30"/>
    </row>
    <row r="509">
      <c r="B509" s="30"/>
      <c r="E509" s="30"/>
    </row>
    <row r="510">
      <c r="B510" s="30"/>
      <c r="E510" s="30"/>
    </row>
    <row r="511">
      <c r="B511" s="30"/>
      <c r="E511" s="30"/>
    </row>
    <row r="512">
      <c r="B512" s="30"/>
      <c r="E512" s="30"/>
    </row>
    <row r="513">
      <c r="B513" s="30"/>
      <c r="E513" s="30"/>
    </row>
    <row r="514">
      <c r="B514" s="30"/>
      <c r="E514" s="30"/>
    </row>
    <row r="515">
      <c r="B515" s="30"/>
      <c r="E515" s="30"/>
    </row>
    <row r="516">
      <c r="B516" s="30"/>
      <c r="E516" s="30"/>
    </row>
    <row r="517">
      <c r="B517" s="30"/>
      <c r="E517" s="30"/>
    </row>
    <row r="518">
      <c r="B518" s="30"/>
      <c r="E518" s="30"/>
    </row>
    <row r="519">
      <c r="B519" s="30"/>
      <c r="E519" s="30"/>
    </row>
    <row r="520">
      <c r="B520" s="30"/>
      <c r="E520" s="30"/>
    </row>
    <row r="521">
      <c r="B521" s="30"/>
      <c r="E521" s="30"/>
    </row>
    <row r="522">
      <c r="B522" s="30"/>
      <c r="E522" s="30"/>
    </row>
    <row r="523">
      <c r="B523" s="30"/>
      <c r="E523" s="30"/>
    </row>
    <row r="524">
      <c r="B524" s="30"/>
      <c r="E524" s="30"/>
    </row>
    <row r="525">
      <c r="B525" s="30"/>
      <c r="E525" s="30"/>
    </row>
    <row r="526">
      <c r="B526" s="30"/>
      <c r="E526" s="30"/>
    </row>
    <row r="527">
      <c r="B527" s="30"/>
      <c r="E527" s="30"/>
    </row>
    <row r="528">
      <c r="B528" s="30"/>
      <c r="E528" s="30"/>
    </row>
    <row r="529">
      <c r="B529" s="30"/>
      <c r="E529" s="30"/>
    </row>
    <row r="530">
      <c r="B530" s="30"/>
      <c r="E530" s="30"/>
    </row>
    <row r="531">
      <c r="B531" s="30"/>
      <c r="E531" s="30"/>
    </row>
    <row r="532">
      <c r="B532" s="30"/>
      <c r="E532" s="30"/>
    </row>
    <row r="533">
      <c r="B533" s="30"/>
      <c r="E533" s="30"/>
    </row>
    <row r="534">
      <c r="B534" s="30"/>
      <c r="E534" s="30"/>
    </row>
    <row r="535">
      <c r="B535" s="30"/>
      <c r="E535" s="30"/>
    </row>
    <row r="536">
      <c r="B536" s="30"/>
      <c r="E536" s="30"/>
    </row>
    <row r="537">
      <c r="B537" s="30"/>
      <c r="E537" s="30"/>
    </row>
    <row r="538">
      <c r="B538" s="30"/>
      <c r="E538" s="30"/>
    </row>
    <row r="539">
      <c r="B539" s="30"/>
      <c r="E539" s="30"/>
    </row>
    <row r="540">
      <c r="B540" s="30"/>
      <c r="E540" s="30"/>
    </row>
    <row r="541">
      <c r="B541" s="30"/>
      <c r="E541" s="30"/>
    </row>
    <row r="542">
      <c r="B542" s="30"/>
      <c r="E542" s="30"/>
    </row>
    <row r="543">
      <c r="B543" s="30"/>
      <c r="E543" s="30"/>
    </row>
    <row r="544">
      <c r="B544" s="30"/>
      <c r="E544" s="30"/>
    </row>
    <row r="545">
      <c r="B545" s="30"/>
      <c r="E545" s="30"/>
    </row>
    <row r="546">
      <c r="B546" s="30"/>
      <c r="E546" s="30"/>
    </row>
    <row r="547">
      <c r="B547" s="30"/>
      <c r="E547" s="30"/>
    </row>
    <row r="548">
      <c r="B548" s="30"/>
      <c r="E548" s="30"/>
    </row>
    <row r="549">
      <c r="B549" s="30"/>
      <c r="E549" s="30"/>
    </row>
    <row r="550">
      <c r="B550" s="30"/>
      <c r="E550" s="30"/>
    </row>
    <row r="551">
      <c r="B551" s="30"/>
      <c r="E551" s="30"/>
    </row>
    <row r="552">
      <c r="B552" s="30"/>
      <c r="E552" s="30"/>
    </row>
    <row r="553">
      <c r="B553" s="30"/>
      <c r="E553" s="30"/>
    </row>
    <row r="554">
      <c r="B554" s="30"/>
      <c r="E554" s="30"/>
    </row>
    <row r="555">
      <c r="B555" s="30"/>
      <c r="E555" s="30"/>
    </row>
    <row r="556">
      <c r="B556" s="30"/>
      <c r="E556" s="30"/>
    </row>
    <row r="557">
      <c r="B557" s="30"/>
      <c r="E557" s="30"/>
    </row>
    <row r="558">
      <c r="B558" s="30"/>
      <c r="E558" s="30"/>
    </row>
    <row r="559">
      <c r="B559" s="30"/>
      <c r="E559" s="30"/>
    </row>
    <row r="560">
      <c r="B560" s="30"/>
      <c r="E560" s="30"/>
    </row>
    <row r="561">
      <c r="B561" s="30"/>
      <c r="E561" s="30"/>
    </row>
    <row r="562">
      <c r="B562" s="30"/>
      <c r="E562" s="30"/>
    </row>
    <row r="563">
      <c r="B563" s="30"/>
      <c r="E563" s="30"/>
    </row>
    <row r="564">
      <c r="B564" s="30"/>
      <c r="E564" s="30"/>
    </row>
    <row r="565">
      <c r="B565" s="30"/>
      <c r="E565" s="30"/>
    </row>
    <row r="566">
      <c r="B566" s="30"/>
      <c r="E566" s="30"/>
    </row>
    <row r="567">
      <c r="B567" s="30"/>
      <c r="E567" s="30"/>
    </row>
    <row r="568">
      <c r="B568" s="30"/>
      <c r="E568" s="30"/>
    </row>
    <row r="569">
      <c r="B569" s="30"/>
      <c r="E569" s="30"/>
    </row>
    <row r="570">
      <c r="B570" s="30"/>
      <c r="E570" s="30"/>
    </row>
    <row r="571">
      <c r="B571" s="30"/>
      <c r="E571" s="30"/>
    </row>
    <row r="572">
      <c r="B572" s="30"/>
      <c r="E572" s="30"/>
    </row>
    <row r="573">
      <c r="B573" s="30"/>
      <c r="E573" s="30"/>
    </row>
    <row r="574">
      <c r="B574" s="30"/>
      <c r="E574" s="30"/>
    </row>
    <row r="575">
      <c r="B575" s="30"/>
      <c r="E575" s="30"/>
    </row>
    <row r="576">
      <c r="B576" s="30"/>
      <c r="E576" s="30"/>
    </row>
    <row r="577">
      <c r="B577" s="30"/>
      <c r="E577" s="30"/>
    </row>
    <row r="578">
      <c r="B578" s="30"/>
      <c r="E578" s="30"/>
    </row>
    <row r="579">
      <c r="B579" s="30"/>
      <c r="E579" s="30"/>
    </row>
    <row r="580">
      <c r="B580" s="30"/>
      <c r="E580" s="30"/>
    </row>
    <row r="581">
      <c r="B581" s="30"/>
      <c r="E581" s="30"/>
    </row>
    <row r="582">
      <c r="B582" s="30"/>
      <c r="E582" s="30"/>
    </row>
    <row r="583">
      <c r="B583" s="30"/>
      <c r="E583" s="30"/>
    </row>
    <row r="584">
      <c r="B584" s="30"/>
      <c r="E584" s="30"/>
    </row>
    <row r="585">
      <c r="B585" s="30"/>
      <c r="E585" s="30"/>
    </row>
    <row r="586">
      <c r="B586" s="30"/>
      <c r="E586" s="30"/>
    </row>
    <row r="587">
      <c r="B587" s="30"/>
      <c r="E587" s="30"/>
    </row>
    <row r="588">
      <c r="B588" s="30"/>
      <c r="E588" s="30"/>
    </row>
    <row r="589">
      <c r="B589" s="30"/>
      <c r="E589" s="30"/>
    </row>
    <row r="590">
      <c r="B590" s="30"/>
      <c r="E590" s="30"/>
    </row>
    <row r="591">
      <c r="B591" s="30"/>
      <c r="E591" s="30"/>
    </row>
    <row r="592">
      <c r="B592" s="30"/>
      <c r="E592" s="30"/>
    </row>
    <row r="593">
      <c r="B593" s="30"/>
      <c r="E593" s="30"/>
    </row>
    <row r="594">
      <c r="B594" s="30"/>
      <c r="E594" s="30"/>
    </row>
    <row r="595">
      <c r="B595" s="30"/>
      <c r="E595" s="30"/>
    </row>
    <row r="596">
      <c r="B596" s="30"/>
      <c r="E596" s="30"/>
    </row>
    <row r="597">
      <c r="B597" s="30"/>
      <c r="E597" s="30"/>
    </row>
    <row r="598">
      <c r="B598" s="30"/>
      <c r="E598" s="30"/>
    </row>
    <row r="599">
      <c r="B599" s="30"/>
      <c r="E599" s="30"/>
    </row>
    <row r="600">
      <c r="B600" s="30"/>
      <c r="E600" s="30"/>
    </row>
    <row r="601">
      <c r="B601" s="30"/>
      <c r="E601" s="30"/>
    </row>
    <row r="602">
      <c r="B602" s="30"/>
      <c r="E602" s="30"/>
    </row>
    <row r="603">
      <c r="B603" s="30"/>
      <c r="E603" s="30"/>
    </row>
    <row r="604">
      <c r="B604" s="30"/>
      <c r="E604" s="30"/>
    </row>
    <row r="605">
      <c r="B605" s="30"/>
      <c r="E605" s="30"/>
    </row>
    <row r="606">
      <c r="B606" s="30"/>
      <c r="E606" s="30"/>
    </row>
    <row r="607">
      <c r="B607" s="30"/>
      <c r="E607" s="30"/>
    </row>
    <row r="608">
      <c r="B608" s="30"/>
      <c r="E608" s="30"/>
    </row>
    <row r="609">
      <c r="B609" s="30"/>
      <c r="E609" s="30"/>
    </row>
    <row r="610">
      <c r="B610" s="30"/>
      <c r="E610" s="30"/>
    </row>
    <row r="611">
      <c r="B611" s="30"/>
      <c r="E611" s="30"/>
    </row>
    <row r="612">
      <c r="B612" s="30"/>
      <c r="E612" s="30"/>
    </row>
    <row r="613">
      <c r="B613" s="30"/>
      <c r="E613" s="30"/>
    </row>
    <row r="614">
      <c r="B614" s="30"/>
      <c r="E614" s="30"/>
    </row>
    <row r="615">
      <c r="B615" s="30"/>
      <c r="E615" s="30"/>
    </row>
    <row r="616">
      <c r="B616" s="30"/>
      <c r="E616" s="30"/>
    </row>
    <row r="617">
      <c r="B617" s="30"/>
      <c r="E617" s="30"/>
    </row>
    <row r="618">
      <c r="B618" s="30"/>
      <c r="E618" s="30"/>
    </row>
    <row r="619">
      <c r="B619" s="30"/>
      <c r="E619" s="30"/>
    </row>
    <row r="620">
      <c r="B620" s="30"/>
      <c r="E620" s="30"/>
    </row>
    <row r="621">
      <c r="B621" s="30"/>
      <c r="E621" s="30"/>
    </row>
    <row r="622">
      <c r="B622" s="30"/>
      <c r="E622" s="30"/>
    </row>
    <row r="623">
      <c r="B623" s="30"/>
      <c r="E623" s="30"/>
    </row>
    <row r="624">
      <c r="B624" s="30"/>
      <c r="E624" s="30"/>
    </row>
    <row r="625">
      <c r="B625" s="30"/>
      <c r="E625" s="30"/>
    </row>
    <row r="626">
      <c r="B626" s="30"/>
      <c r="E626" s="30"/>
    </row>
    <row r="627">
      <c r="B627" s="30"/>
      <c r="E627" s="30"/>
    </row>
    <row r="628">
      <c r="B628" s="30"/>
      <c r="E628" s="30"/>
    </row>
    <row r="629">
      <c r="B629" s="30"/>
      <c r="E629" s="30"/>
    </row>
    <row r="630">
      <c r="B630" s="30"/>
      <c r="E630" s="30"/>
    </row>
    <row r="631">
      <c r="B631" s="30"/>
      <c r="E631" s="30"/>
    </row>
    <row r="632">
      <c r="B632" s="30"/>
      <c r="E632" s="30"/>
    </row>
    <row r="633">
      <c r="B633" s="30"/>
      <c r="E633" s="30"/>
    </row>
    <row r="634">
      <c r="B634" s="30"/>
      <c r="E634" s="30"/>
    </row>
    <row r="635">
      <c r="B635" s="30"/>
      <c r="E635" s="30"/>
    </row>
    <row r="636">
      <c r="B636" s="30"/>
      <c r="E636" s="30"/>
    </row>
    <row r="637">
      <c r="B637" s="30"/>
      <c r="E637" s="30"/>
    </row>
    <row r="638">
      <c r="B638" s="30"/>
      <c r="E638" s="30"/>
    </row>
    <row r="639">
      <c r="B639" s="30"/>
      <c r="E639" s="30"/>
    </row>
    <row r="640">
      <c r="B640" s="30"/>
      <c r="E640" s="30"/>
    </row>
    <row r="641">
      <c r="B641" s="30"/>
      <c r="E641" s="30"/>
    </row>
    <row r="642">
      <c r="B642" s="30"/>
      <c r="E642" s="30"/>
    </row>
    <row r="643">
      <c r="B643" s="30"/>
      <c r="E643" s="30"/>
    </row>
    <row r="644">
      <c r="B644" s="30"/>
      <c r="E644" s="30"/>
    </row>
    <row r="645">
      <c r="B645" s="30"/>
      <c r="E645" s="30"/>
    </row>
    <row r="646">
      <c r="B646" s="30"/>
      <c r="E646" s="30"/>
    </row>
    <row r="647">
      <c r="B647" s="30"/>
      <c r="E647" s="30"/>
    </row>
    <row r="648">
      <c r="B648" s="30"/>
      <c r="E648" s="30"/>
    </row>
    <row r="649">
      <c r="B649" s="30"/>
      <c r="E649" s="30"/>
    </row>
    <row r="650">
      <c r="B650" s="30"/>
      <c r="E650" s="30"/>
    </row>
    <row r="651">
      <c r="B651" s="30"/>
      <c r="E651" s="30"/>
    </row>
    <row r="652">
      <c r="B652" s="30"/>
      <c r="E652" s="30"/>
    </row>
    <row r="653">
      <c r="B653" s="30"/>
      <c r="E653" s="30"/>
    </row>
    <row r="654">
      <c r="B654" s="30"/>
      <c r="E654" s="30"/>
    </row>
    <row r="655">
      <c r="B655" s="30"/>
      <c r="E655" s="30"/>
    </row>
    <row r="656">
      <c r="B656" s="30"/>
      <c r="E656" s="30"/>
    </row>
    <row r="657">
      <c r="B657" s="30"/>
      <c r="E657" s="30"/>
    </row>
    <row r="658">
      <c r="B658" s="30"/>
      <c r="E658" s="30"/>
    </row>
    <row r="659">
      <c r="B659" s="30"/>
      <c r="E659" s="30"/>
    </row>
    <row r="660">
      <c r="B660" s="30"/>
      <c r="E660" s="30"/>
    </row>
    <row r="661">
      <c r="B661" s="30"/>
      <c r="E661" s="30"/>
    </row>
    <row r="662">
      <c r="B662" s="30"/>
      <c r="E662" s="30"/>
    </row>
    <row r="663">
      <c r="B663" s="30"/>
      <c r="E663" s="30"/>
    </row>
    <row r="664">
      <c r="B664" s="30"/>
      <c r="E664" s="30"/>
    </row>
    <row r="665">
      <c r="B665" s="30"/>
      <c r="E665" s="30"/>
    </row>
    <row r="666">
      <c r="B666" s="30"/>
      <c r="E666" s="30"/>
    </row>
    <row r="667">
      <c r="B667" s="30"/>
      <c r="E667" s="30"/>
    </row>
    <row r="668">
      <c r="B668" s="30"/>
      <c r="E668" s="30"/>
    </row>
    <row r="669">
      <c r="B669" s="30"/>
      <c r="E669" s="30"/>
    </row>
    <row r="670">
      <c r="B670" s="30"/>
      <c r="E670" s="30"/>
    </row>
    <row r="671">
      <c r="B671" s="30"/>
      <c r="E671" s="30"/>
    </row>
    <row r="672">
      <c r="B672" s="30"/>
      <c r="E672" s="30"/>
    </row>
    <row r="673">
      <c r="B673" s="30"/>
      <c r="E673" s="30"/>
    </row>
    <row r="674">
      <c r="B674" s="30"/>
      <c r="E674" s="30"/>
    </row>
    <row r="675">
      <c r="B675" s="30"/>
      <c r="E675" s="30"/>
    </row>
    <row r="676">
      <c r="B676" s="30"/>
      <c r="E676" s="30"/>
    </row>
    <row r="677">
      <c r="B677" s="30"/>
      <c r="E677" s="30"/>
    </row>
    <row r="678">
      <c r="B678" s="30"/>
      <c r="E678" s="30"/>
    </row>
    <row r="679">
      <c r="B679" s="30"/>
      <c r="E679" s="30"/>
    </row>
    <row r="680">
      <c r="B680" s="30"/>
      <c r="E680" s="30"/>
    </row>
    <row r="681">
      <c r="B681" s="30"/>
      <c r="E681" s="30"/>
    </row>
    <row r="682">
      <c r="B682" s="30"/>
      <c r="E682" s="30"/>
    </row>
    <row r="683">
      <c r="B683" s="30"/>
      <c r="E683" s="30"/>
    </row>
    <row r="684">
      <c r="B684" s="30"/>
      <c r="E684" s="30"/>
    </row>
    <row r="685">
      <c r="B685" s="30"/>
      <c r="E685" s="30"/>
    </row>
    <row r="686">
      <c r="B686" s="30"/>
      <c r="E686" s="30"/>
    </row>
    <row r="687">
      <c r="B687" s="30"/>
      <c r="E687" s="30"/>
    </row>
    <row r="688">
      <c r="B688" s="30"/>
      <c r="E688" s="30"/>
    </row>
    <row r="689">
      <c r="B689" s="30"/>
      <c r="E689" s="30"/>
    </row>
    <row r="690">
      <c r="B690" s="30"/>
      <c r="E690" s="30"/>
    </row>
    <row r="691">
      <c r="B691" s="30"/>
      <c r="E691" s="30"/>
    </row>
    <row r="692">
      <c r="B692" s="30"/>
      <c r="E692" s="30"/>
    </row>
    <row r="693">
      <c r="B693" s="30"/>
      <c r="E693" s="30"/>
    </row>
    <row r="694">
      <c r="B694" s="30"/>
      <c r="E694" s="30"/>
    </row>
    <row r="695">
      <c r="B695" s="30"/>
      <c r="E695" s="30"/>
    </row>
    <row r="696">
      <c r="B696" s="30"/>
      <c r="E696" s="30"/>
    </row>
    <row r="697">
      <c r="B697" s="30"/>
      <c r="E697" s="30"/>
    </row>
    <row r="698">
      <c r="B698" s="30"/>
      <c r="E698" s="30"/>
    </row>
    <row r="699">
      <c r="B699" s="30"/>
      <c r="E699" s="30"/>
    </row>
    <row r="700">
      <c r="B700" s="30"/>
      <c r="E700" s="30"/>
    </row>
    <row r="701">
      <c r="B701" s="30"/>
      <c r="E701" s="30"/>
    </row>
    <row r="702">
      <c r="B702" s="30"/>
      <c r="E702" s="30"/>
    </row>
    <row r="703">
      <c r="B703" s="30"/>
      <c r="E703" s="30"/>
    </row>
    <row r="704">
      <c r="B704" s="30"/>
      <c r="E704" s="30"/>
    </row>
    <row r="705">
      <c r="B705" s="30"/>
      <c r="E705" s="30"/>
    </row>
    <row r="706">
      <c r="B706" s="30"/>
      <c r="E706" s="30"/>
    </row>
    <row r="707">
      <c r="B707" s="30"/>
      <c r="E707" s="30"/>
    </row>
    <row r="708">
      <c r="B708" s="30"/>
      <c r="E708" s="30"/>
    </row>
    <row r="709">
      <c r="B709" s="30"/>
      <c r="E709" s="30"/>
    </row>
    <row r="710">
      <c r="B710" s="30"/>
      <c r="E710" s="30"/>
    </row>
    <row r="711">
      <c r="B711" s="30"/>
      <c r="E711" s="30"/>
    </row>
    <row r="712">
      <c r="B712" s="30"/>
      <c r="E712" s="30"/>
    </row>
    <row r="713">
      <c r="B713" s="30"/>
      <c r="E713" s="30"/>
    </row>
    <row r="714">
      <c r="B714" s="30"/>
      <c r="E714" s="30"/>
    </row>
    <row r="715">
      <c r="B715" s="30"/>
      <c r="E715" s="30"/>
    </row>
    <row r="716">
      <c r="B716" s="30"/>
      <c r="E716" s="30"/>
    </row>
    <row r="717">
      <c r="B717" s="30"/>
      <c r="E717" s="30"/>
    </row>
    <row r="718">
      <c r="B718" s="30"/>
      <c r="E718" s="30"/>
    </row>
    <row r="719">
      <c r="B719" s="30"/>
      <c r="E719" s="30"/>
    </row>
    <row r="720">
      <c r="B720" s="30"/>
      <c r="E720" s="30"/>
    </row>
    <row r="721">
      <c r="B721" s="30"/>
      <c r="E721" s="30"/>
    </row>
    <row r="722">
      <c r="B722" s="30"/>
      <c r="E722" s="30"/>
    </row>
    <row r="723">
      <c r="B723" s="30"/>
      <c r="E723" s="30"/>
    </row>
    <row r="724">
      <c r="B724" s="30"/>
      <c r="E724" s="30"/>
    </row>
    <row r="725">
      <c r="B725" s="30"/>
      <c r="E725" s="30"/>
    </row>
    <row r="726">
      <c r="B726" s="30"/>
      <c r="E726" s="30"/>
    </row>
    <row r="727">
      <c r="B727" s="30"/>
      <c r="E727" s="30"/>
    </row>
    <row r="728">
      <c r="B728" s="30"/>
      <c r="E728" s="30"/>
    </row>
    <row r="729">
      <c r="B729" s="30"/>
      <c r="E729" s="30"/>
    </row>
    <row r="730">
      <c r="B730" s="30"/>
      <c r="E730" s="30"/>
    </row>
    <row r="731">
      <c r="B731" s="30"/>
      <c r="E731" s="30"/>
    </row>
    <row r="732">
      <c r="B732" s="30"/>
      <c r="E732" s="30"/>
    </row>
    <row r="733">
      <c r="B733" s="30"/>
      <c r="E733" s="30"/>
    </row>
    <row r="734">
      <c r="B734" s="30"/>
      <c r="E734" s="30"/>
    </row>
    <row r="735">
      <c r="B735" s="30"/>
      <c r="E735" s="30"/>
    </row>
    <row r="736">
      <c r="B736" s="30"/>
      <c r="E736" s="30"/>
    </row>
    <row r="737">
      <c r="B737" s="30"/>
      <c r="E737" s="30"/>
    </row>
    <row r="738">
      <c r="B738" s="30"/>
      <c r="E738" s="30"/>
    </row>
    <row r="739">
      <c r="B739" s="30"/>
      <c r="E739" s="30"/>
    </row>
    <row r="740">
      <c r="B740" s="30"/>
      <c r="E740" s="30"/>
    </row>
    <row r="741">
      <c r="B741" s="30"/>
      <c r="E741" s="30"/>
    </row>
    <row r="742">
      <c r="B742" s="30"/>
      <c r="E742" s="30"/>
    </row>
    <row r="743">
      <c r="B743" s="30"/>
      <c r="E743" s="30"/>
    </row>
    <row r="744">
      <c r="B744" s="30"/>
      <c r="E744" s="30"/>
    </row>
    <row r="745">
      <c r="B745" s="30"/>
      <c r="E745" s="30"/>
    </row>
    <row r="746">
      <c r="B746" s="30"/>
      <c r="E746" s="30"/>
    </row>
    <row r="747">
      <c r="B747" s="30"/>
      <c r="E747" s="30"/>
    </row>
    <row r="748">
      <c r="B748" s="30"/>
      <c r="E748" s="30"/>
    </row>
    <row r="749">
      <c r="B749" s="30"/>
      <c r="E749" s="30"/>
    </row>
    <row r="750">
      <c r="B750" s="30"/>
      <c r="E750" s="30"/>
    </row>
    <row r="751">
      <c r="B751" s="30"/>
      <c r="E751" s="30"/>
    </row>
    <row r="752">
      <c r="B752" s="30"/>
      <c r="E752" s="30"/>
    </row>
    <row r="753">
      <c r="B753" s="30"/>
      <c r="E753" s="30"/>
    </row>
    <row r="754">
      <c r="B754" s="30"/>
      <c r="E754" s="30"/>
    </row>
    <row r="755">
      <c r="B755" s="30"/>
      <c r="E755" s="30"/>
    </row>
    <row r="756">
      <c r="B756" s="30"/>
      <c r="E756" s="30"/>
    </row>
    <row r="757">
      <c r="B757" s="30"/>
      <c r="E757" s="30"/>
    </row>
    <row r="758">
      <c r="B758" s="30"/>
      <c r="E758" s="30"/>
    </row>
    <row r="759">
      <c r="B759" s="30"/>
      <c r="E759" s="30"/>
    </row>
    <row r="760">
      <c r="B760" s="30"/>
      <c r="E760" s="30"/>
    </row>
    <row r="761">
      <c r="B761" s="30"/>
      <c r="E761" s="30"/>
    </row>
    <row r="762">
      <c r="B762" s="30"/>
      <c r="E762" s="30"/>
    </row>
    <row r="763">
      <c r="B763" s="30"/>
      <c r="E763" s="30"/>
    </row>
    <row r="764">
      <c r="B764" s="30"/>
      <c r="E764" s="30"/>
    </row>
    <row r="765">
      <c r="B765" s="30"/>
      <c r="E765" s="30"/>
    </row>
    <row r="766">
      <c r="B766" s="30"/>
      <c r="E766" s="30"/>
    </row>
    <row r="767">
      <c r="B767" s="30"/>
      <c r="E767" s="30"/>
    </row>
    <row r="768">
      <c r="B768" s="30"/>
      <c r="E768" s="30"/>
    </row>
    <row r="769">
      <c r="B769" s="30"/>
      <c r="E769" s="30"/>
    </row>
    <row r="770">
      <c r="B770" s="30"/>
      <c r="E770" s="30"/>
    </row>
    <row r="771">
      <c r="B771" s="30"/>
      <c r="E771" s="30"/>
    </row>
    <row r="772">
      <c r="B772" s="30"/>
      <c r="E772" s="30"/>
    </row>
    <row r="773">
      <c r="B773" s="30"/>
      <c r="E773" s="30"/>
    </row>
    <row r="774">
      <c r="B774" s="30"/>
      <c r="E774" s="30"/>
    </row>
    <row r="775">
      <c r="B775" s="30"/>
      <c r="E775" s="30"/>
    </row>
    <row r="776">
      <c r="B776" s="30"/>
      <c r="E776" s="30"/>
    </row>
    <row r="777">
      <c r="B777" s="30"/>
      <c r="E777" s="30"/>
    </row>
    <row r="778">
      <c r="B778" s="30"/>
      <c r="E778" s="30"/>
    </row>
    <row r="779">
      <c r="B779" s="30"/>
      <c r="E779" s="30"/>
    </row>
    <row r="780">
      <c r="B780" s="30"/>
      <c r="E780" s="30"/>
    </row>
    <row r="781">
      <c r="B781" s="30"/>
      <c r="E781" s="30"/>
    </row>
    <row r="782">
      <c r="B782" s="30"/>
      <c r="E782" s="30"/>
    </row>
    <row r="783">
      <c r="B783" s="30"/>
      <c r="E783" s="30"/>
    </row>
    <row r="784">
      <c r="B784" s="30"/>
      <c r="E784" s="30"/>
    </row>
    <row r="785">
      <c r="B785" s="30"/>
      <c r="E785" s="30"/>
    </row>
    <row r="786">
      <c r="B786" s="30"/>
      <c r="E786" s="30"/>
    </row>
    <row r="787">
      <c r="B787" s="30"/>
      <c r="E787" s="30"/>
    </row>
    <row r="788">
      <c r="B788" s="30"/>
      <c r="E788" s="30"/>
    </row>
    <row r="789">
      <c r="B789" s="30"/>
      <c r="E789" s="30"/>
    </row>
    <row r="790">
      <c r="B790" s="30"/>
      <c r="E790" s="30"/>
    </row>
    <row r="791">
      <c r="B791" s="30"/>
      <c r="E791" s="30"/>
    </row>
    <row r="792">
      <c r="B792" s="30"/>
      <c r="E792" s="30"/>
    </row>
    <row r="793">
      <c r="B793" s="30"/>
      <c r="E793" s="30"/>
    </row>
    <row r="794">
      <c r="B794" s="30"/>
      <c r="E794" s="30"/>
    </row>
    <row r="795">
      <c r="B795" s="30"/>
      <c r="E795" s="30"/>
    </row>
    <row r="796">
      <c r="B796" s="30"/>
      <c r="E796" s="30"/>
    </row>
    <row r="797">
      <c r="B797" s="30"/>
      <c r="E797" s="30"/>
    </row>
    <row r="798">
      <c r="B798" s="30"/>
      <c r="E798" s="30"/>
    </row>
    <row r="799">
      <c r="B799" s="30"/>
      <c r="E799" s="30"/>
    </row>
    <row r="800">
      <c r="B800" s="30"/>
      <c r="E800" s="30"/>
    </row>
    <row r="801">
      <c r="B801" s="30"/>
      <c r="E801" s="30"/>
    </row>
    <row r="802">
      <c r="B802" s="30"/>
      <c r="E802" s="30"/>
    </row>
    <row r="803">
      <c r="B803" s="30"/>
      <c r="E803" s="30"/>
    </row>
    <row r="804">
      <c r="B804" s="30"/>
      <c r="E804" s="30"/>
    </row>
    <row r="805">
      <c r="B805" s="30"/>
      <c r="E805" s="30"/>
    </row>
    <row r="806">
      <c r="B806" s="30"/>
      <c r="E806" s="30"/>
    </row>
    <row r="807">
      <c r="B807" s="30"/>
      <c r="E807" s="30"/>
    </row>
    <row r="808">
      <c r="B808" s="30"/>
      <c r="E808" s="30"/>
    </row>
    <row r="809">
      <c r="B809" s="30"/>
      <c r="E809" s="30"/>
    </row>
    <row r="810">
      <c r="B810" s="30"/>
      <c r="E810" s="30"/>
    </row>
    <row r="811">
      <c r="B811" s="30"/>
      <c r="E811" s="30"/>
    </row>
    <row r="812">
      <c r="B812" s="30"/>
      <c r="E812" s="30"/>
    </row>
    <row r="813">
      <c r="B813" s="30"/>
      <c r="E813" s="30"/>
    </row>
    <row r="814">
      <c r="B814" s="30"/>
      <c r="E814" s="30"/>
    </row>
    <row r="815">
      <c r="B815" s="30"/>
      <c r="E815" s="30"/>
    </row>
    <row r="816">
      <c r="B816" s="30"/>
      <c r="E816" s="30"/>
    </row>
    <row r="817">
      <c r="B817" s="30"/>
      <c r="E817" s="30"/>
    </row>
    <row r="818">
      <c r="B818" s="30"/>
      <c r="E818" s="30"/>
    </row>
    <row r="819">
      <c r="B819" s="30"/>
      <c r="E819" s="30"/>
    </row>
    <row r="820">
      <c r="B820" s="30"/>
      <c r="E820" s="30"/>
    </row>
    <row r="821">
      <c r="B821" s="30"/>
      <c r="E821" s="30"/>
    </row>
    <row r="822">
      <c r="B822" s="30"/>
      <c r="E822" s="30"/>
    </row>
    <row r="823">
      <c r="B823" s="30"/>
      <c r="E823" s="30"/>
    </row>
    <row r="824">
      <c r="B824" s="30"/>
      <c r="E824" s="30"/>
    </row>
    <row r="825">
      <c r="B825" s="30"/>
      <c r="E825" s="30"/>
    </row>
    <row r="826">
      <c r="B826" s="30"/>
      <c r="E826" s="30"/>
    </row>
    <row r="827">
      <c r="B827" s="30"/>
      <c r="E827" s="30"/>
    </row>
    <row r="828">
      <c r="B828" s="30"/>
      <c r="E828" s="30"/>
    </row>
    <row r="829">
      <c r="B829" s="30"/>
      <c r="E829" s="30"/>
    </row>
    <row r="830">
      <c r="B830" s="30"/>
      <c r="E830" s="30"/>
    </row>
    <row r="831">
      <c r="B831" s="30"/>
      <c r="E831" s="30"/>
    </row>
    <row r="832">
      <c r="B832" s="30"/>
      <c r="E832" s="30"/>
    </row>
    <row r="833">
      <c r="B833" s="30"/>
      <c r="E833" s="30"/>
    </row>
    <row r="834">
      <c r="B834" s="30"/>
      <c r="E834" s="30"/>
    </row>
    <row r="835">
      <c r="B835" s="30"/>
      <c r="E835" s="30"/>
    </row>
    <row r="836">
      <c r="B836" s="30"/>
      <c r="E836" s="30"/>
    </row>
    <row r="837">
      <c r="B837" s="30"/>
      <c r="E837" s="30"/>
    </row>
    <row r="838">
      <c r="B838" s="30"/>
      <c r="E838" s="30"/>
    </row>
    <row r="839">
      <c r="B839" s="30"/>
      <c r="E839" s="30"/>
    </row>
    <row r="840">
      <c r="B840" s="30"/>
      <c r="E840" s="30"/>
    </row>
    <row r="841">
      <c r="B841" s="30"/>
      <c r="E841" s="30"/>
    </row>
    <row r="842">
      <c r="B842" s="30"/>
      <c r="E842" s="30"/>
    </row>
    <row r="843">
      <c r="B843" s="30"/>
      <c r="E843" s="30"/>
    </row>
    <row r="844">
      <c r="B844" s="30"/>
      <c r="E844" s="30"/>
    </row>
    <row r="845">
      <c r="B845" s="30"/>
      <c r="E845" s="30"/>
    </row>
    <row r="846">
      <c r="B846" s="30"/>
      <c r="E846" s="30"/>
    </row>
    <row r="847">
      <c r="B847" s="30"/>
      <c r="E847" s="30"/>
    </row>
    <row r="848">
      <c r="B848" s="30"/>
      <c r="E848" s="30"/>
    </row>
    <row r="849">
      <c r="B849" s="30"/>
      <c r="E849" s="30"/>
    </row>
    <row r="850">
      <c r="B850" s="30"/>
      <c r="E850" s="30"/>
    </row>
    <row r="851">
      <c r="B851" s="30"/>
      <c r="E851" s="30"/>
    </row>
    <row r="852">
      <c r="B852" s="30"/>
      <c r="E852" s="30"/>
    </row>
    <row r="853">
      <c r="B853" s="30"/>
      <c r="E853" s="30"/>
    </row>
    <row r="854">
      <c r="B854" s="30"/>
      <c r="E854" s="30"/>
    </row>
    <row r="855">
      <c r="B855" s="30"/>
      <c r="E855" s="30"/>
    </row>
    <row r="856">
      <c r="B856" s="30"/>
      <c r="E856" s="30"/>
    </row>
    <row r="857">
      <c r="B857" s="30"/>
      <c r="E857" s="30"/>
    </row>
    <row r="858">
      <c r="B858" s="30"/>
      <c r="E858" s="30"/>
    </row>
    <row r="859">
      <c r="B859" s="30"/>
      <c r="E859" s="30"/>
    </row>
    <row r="860">
      <c r="B860" s="30"/>
      <c r="E860" s="30"/>
    </row>
    <row r="861">
      <c r="B861" s="30"/>
      <c r="E861" s="30"/>
    </row>
    <row r="862">
      <c r="B862" s="30"/>
      <c r="E862" s="30"/>
    </row>
    <row r="863">
      <c r="B863" s="30"/>
      <c r="E863" s="30"/>
    </row>
    <row r="864">
      <c r="B864" s="30"/>
      <c r="E864" s="30"/>
    </row>
    <row r="865">
      <c r="B865" s="30"/>
      <c r="E865" s="30"/>
    </row>
    <row r="866">
      <c r="B866" s="30"/>
      <c r="E866" s="30"/>
    </row>
    <row r="867">
      <c r="B867" s="30"/>
      <c r="E867" s="30"/>
    </row>
    <row r="868">
      <c r="B868" s="30"/>
      <c r="E868" s="30"/>
    </row>
    <row r="869">
      <c r="B869" s="30"/>
      <c r="E869" s="30"/>
    </row>
    <row r="870">
      <c r="B870" s="30"/>
      <c r="E870" s="30"/>
    </row>
    <row r="871">
      <c r="B871" s="30"/>
      <c r="E871" s="30"/>
    </row>
    <row r="872">
      <c r="B872" s="30"/>
      <c r="E872" s="30"/>
    </row>
    <row r="873">
      <c r="B873" s="30"/>
      <c r="E873" s="30"/>
    </row>
    <row r="874">
      <c r="B874" s="30"/>
      <c r="E874" s="30"/>
    </row>
    <row r="875">
      <c r="B875" s="30"/>
      <c r="E875" s="30"/>
    </row>
    <row r="876">
      <c r="B876" s="30"/>
      <c r="E876" s="30"/>
    </row>
    <row r="877">
      <c r="B877" s="30"/>
      <c r="E877" s="30"/>
    </row>
    <row r="878">
      <c r="B878" s="30"/>
      <c r="E878" s="30"/>
    </row>
    <row r="879">
      <c r="B879" s="30"/>
      <c r="E879" s="30"/>
    </row>
    <row r="880">
      <c r="B880" s="30"/>
      <c r="E880" s="30"/>
    </row>
    <row r="881">
      <c r="B881" s="30"/>
      <c r="E881" s="30"/>
    </row>
    <row r="882">
      <c r="B882" s="30"/>
      <c r="E882" s="30"/>
    </row>
    <row r="883">
      <c r="B883" s="30"/>
      <c r="E883" s="30"/>
    </row>
    <row r="884">
      <c r="B884" s="30"/>
      <c r="E884" s="30"/>
    </row>
    <row r="885">
      <c r="B885" s="30"/>
      <c r="E885" s="30"/>
    </row>
    <row r="886">
      <c r="B886" s="30"/>
      <c r="E886" s="30"/>
    </row>
    <row r="887">
      <c r="B887" s="30"/>
      <c r="E887" s="30"/>
    </row>
    <row r="888">
      <c r="B888" s="30"/>
      <c r="E888" s="30"/>
    </row>
    <row r="889">
      <c r="B889" s="30"/>
      <c r="E889" s="30"/>
    </row>
    <row r="890">
      <c r="B890" s="30"/>
      <c r="E890" s="30"/>
    </row>
    <row r="891">
      <c r="B891" s="30"/>
      <c r="E891" s="30"/>
    </row>
    <row r="892">
      <c r="B892" s="30"/>
      <c r="E892" s="30"/>
    </row>
    <row r="893">
      <c r="B893" s="30"/>
      <c r="E893" s="30"/>
    </row>
    <row r="894">
      <c r="B894" s="30"/>
      <c r="E894" s="30"/>
    </row>
    <row r="895">
      <c r="B895" s="30"/>
      <c r="E895" s="30"/>
    </row>
    <row r="896">
      <c r="B896" s="30"/>
      <c r="E896" s="30"/>
    </row>
    <row r="897">
      <c r="B897" s="30"/>
      <c r="E897" s="30"/>
    </row>
    <row r="898">
      <c r="B898" s="30"/>
      <c r="E898" s="30"/>
    </row>
    <row r="899">
      <c r="B899" s="30"/>
      <c r="E899" s="30"/>
    </row>
    <row r="900">
      <c r="B900" s="30"/>
      <c r="E900" s="30"/>
    </row>
    <row r="901">
      <c r="B901" s="30"/>
      <c r="E901" s="30"/>
    </row>
    <row r="902">
      <c r="B902" s="30"/>
      <c r="E902" s="30"/>
    </row>
    <row r="903">
      <c r="B903" s="30"/>
      <c r="E903" s="30"/>
    </row>
    <row r="904">
      <c r="B904" s="30"/>
      <c r="E904" s="30"/>
    </row>
    <row r="905">
      <c r="B905" s="30"/>
      <c r="E905" s="30"/>
    </row>
    <row r="906">
      <c r="B906" s="30"/>
      <c r="E906" s="30"/>
    </row>
    <row r="907">
      <c r="B907" s="30"/>
      <c r="E907" s="30"/>
    </row>
    <row r="908">
      <c r="B908" s="30"/>
      <c r="E908" s="30"/>
    </row>
    <row r="909">
      <c r="B909" s="30"/>
      <c r="E909" s="30"/>
    </row>
    <row r="910">
      <c r="B910" s="30"/>
      <c r="E910" s="30"/>
    </row>
    <row r="911">
      <c r="B911" s="30"/>
      <c r="E911" s="30"/>
    </row>
    <row r="912">
      <c r="B912" s="30"/>
      <c r="E912" s="30"/>
    </row>
    <row r="913">
      <c r="B913" s="30"/>
      <c r="E913" s="30"/>
    </row>
    <row r="914">
      <c r="B914" s="30"/>
      <c r="E914" s="30"/>
    </row>
    <row r="915">
      <c r="B915" s="30"/>
      <c r="E915" s="30"/>
    </row>
    <row r="916">
      <c r="B916" s="30"/>
      <c r="E916" s="30"/>
    </row>
    <row r="917">
      <c r="B917" s="30"/>
      <c r="E917" s="30"/>
    </row>
    <row r="918">
      <c r="B918" s="30"/>
      <c r="E918" s="30"/>
    </row>
    <row r="919">
      <c r="B919" s="30"/>
      <c r="E919" s="30"/>
    </row>
    <row r="920">
      <c r="B920" s="30"/>
      <c r="E920" s="30"/>
    </row>
    <row r="921">
      <c r="B921" s="30"/>
      <c r="E921" s="30"/>
    </row>
    <row r="922">
      <c r="B922" s="30"/>
      <c r="E922" s="30"/>
    </row>
    <row r="923">
      <c r="B923" s="30"/>
      <c r="E923" s="30"/>
    </row>
    <row r="924">
      <c r="B924" s="30"/>
      <c r="E924" s="30"/>
    </row>
    <row r="925">
      <c r="B925" s="30"/>
      <c r="E925" s="30"/>
    </row>
    <row r="926">
      <c r="B926" s="30"/>
      <c r="E926" s="30"/>
    </row>
    <row r="927">
      <c r="B927" s="30"/>
      <c r="E927" s="30"/>
    </row>
    <row r="928">
      <c r="B928" s="30"/>
      <c r="E928" s="30"/>
    </row>
    <row r="929">
      <c r="B929" s="30"/>
      <c r="E929" s="30"/>
    </row>
    <row r="930">
      <c r="B930" s="30"/>
      <c r="E930" s="30"/>
    </row>
    <row r="931">
      <c r="B931" s="30"/>
      <c r="E931" s="30"/>
    </row>
    <row r="932">
      <c r="B932" s="30"/>
      <c r="E932" s="30"/>
    </row>
    <row r="933">
      <c r="B933" s="30"/>
      <c r="E933" s="30"/>
    </row>
    <row r="934">
      <c r="B934" s="30"/>
      <c r="E934" s="30"/>
    </row>
    <row r="935">
      <c r="B935" s="30"/>
      <c r="E935" s="30"/>
    </row>
    <row r="936">
      <c r="B936" s="30"/>
      <c r="E936" s="30"/>
    </row>
    <row r="937">
      <c r="B937" s="30"/>
      <c r="E937" s="30"/>
    </row>
    <row r="938">
      <c r="B938" s="30"/>
      <c r="E938" s="30"/>
    </row>
    <row r="939">
      <c r="B939" s="30"/>
      <c r="E939" s="30"/>
    </row>
    <row r="940">
      <c r="B940" s="30"/>
      <c r="E940" s="30"/>
    </row>
    <row r="941">
      <c r="B941" s="30"/>
      <c r="E941" s="30"/>
    </row>
    <row r="942">
      <c r="B942" s="30"/>
      <c r="E942" s="30"/>
    </row>
    <row r="943">
      <c r="B943" s="30"/>
      <c r="E943" s="30"/>
    </row>
    <row r="944">
      <c r="B944" s="30"/>
      <c r="E944" s="30"/>
    </row>
    <row r="945">
      <c r="B945" s="30"/>
      <c r="E945" s="30"/>
    </row>
    <row r="946">
      <c r="B946" s="30"/>
      <c r="E946" s="30"/>
    </row>
    <row r="947">
      <c r="B947" s="30"/>
      <c r="E947" s="30"/>
    </row>
    <row r="948">
      <c r="B948" s="30"/>
      <c r="E948" s="30"/>
    </row>
    <row r="949">
      <c r="B949" s="30"/>
      <c r="E949" s="30"/>
    </row>
    <row r="950">
      <c r="B950" s="30"/>
      <c r="E950" s="30"/>
    </row>
    <row r="951">
      <c r="B951" s="30"/>
      <c r="E951" s="30"/>
    </row>
    <row r="952">
      <c r="B952" s="30"/>
      <c r="E952" s="30"/>
    </row>
    <row r="953">
      <c r="B953" s="30"/>
      <c r="E953" s="30"/>
    </row>
    <row r="954">
      <c r="B954" s="30"/>
      <c r="E954" s="30"/>
    </row>
    <row r="955">
      <c r="B955" s="30"/>
      <c r="E955" s="30"/>
    </row>
    <row r="956">
      <c r="B956" s="30"/>
      <c r="E956" s="30"/>
    </row>
    <row r="957">
      <c r="B957" s="30"/>
      <c r="E957" s="30"/>
    </row>
    <row r="958">
      <c r="B958" s="30"/>
      <c r="E958" s="30"/>
    </row>
    <row r="959">
      <c r="B959" s="30"/>
      <c r="E959" s="30"/>
    </row>
    <row r="960">
      <c r="B960" s="30"/>
      <c r="E960" s="30"/>
    </row>
    <row r="961">
      <c r="B961" s="30"/>
      <c r="E961" s="30"/>
    </row>
    <row r="962">
      <c r="B962" s="30"/>
      <c r="E962" s="30"/>
    </row>
    <row r="963">
      <c r="B963" s="30"/>
      <c r="E963" s="30"/>
    </row>
    <row r="964">
      <c r="B964" s="30"/>
      <c r="E964" s="30"/>
    </row>
    <row r="965">
      <c r="B965" s="30"/>
      <c r="E965" s="30"/>
    </row>
    <row r="966">
      <c r="B966" s="30"/>
      <c r="E966" s="30"/>
    </row>
    <row r="967">
      <c r="B967" s="30"/>
      <c r="E967" s="30"/>
    </row>
    <row r="968">
      <c r="B968" s="30"/>
      <c r="E968" s="30"/>
    </row>
    <row r="969">
      <c r="B969" s="30"/>
      <c r="E969" s="30"/>
    </row>
    <row r="970">
      <c r="B970" s="30"/>
      <c r="E970" s="30"/>
    </row>
    <row r="971">
      <c r="B971" s="30"/>
      <c r="E971" s="30"/>
    </row>
    <row r="972">
      <c r="B972" s="30"/>
      <c r="E972" s="30"/>
    </row>
    <row r="973">
      <c r="B973" s="30"/>
      <c r="E973" s="30"/>
    </row>
    <row r="974">
      <c r="B974" s="30"/>
      <c r="E974" s="30"/>
    </row>
    <row r="975">
      <c r="B975" s="30"/>
      <c r="E975" s="30"/>
    </row>
    <row r="976">
      <c r="B976" s="30"/>
      <c r="E976" s="30"/>
    </row>
    <row r="977">
      <c r="B977" s="30"/>
      <c r="E977" s="30"/>
    </row>
    <row r="978">
      <c r="B978" s="30"/>
      <c r="E978" s="30"/>
    </row>
    <row r="979">
      <c r="B979" s="30"/>
      <c r="E979" s="30"/>
    </row>
    <row r="980">
      <c r="B980" s="30"/>
      <c r="E980" s="30"/>
    </row>
    <row r="981">
      <c r="B981" s="30"/>
      <c r="E981" s="30"/>
    </row>
    <row r="982">
      <c r="B982" s="30"/>
      <c r="E982" s="30"/>
    </row>
    <row r="983">
      <c r="B983" s="30"/>
      <c r="E983" s="30"/>
    </row>
    <row r="984">
      <c r="B984" s="30"/>
      <c r="E984" s="30"/>
    </row>
    <row r="985">
      <c r="B985" s="30"/>
      <c r="E985" s="30"/>
    </row>
    <row r="986">
      <c r="B986" s="30"/>
      <c r="E986" s="30"/>
    </row>
    <row r="987">
      <c r="B987" s="30"/>
      <c r="E987" s="30"/>
    </row>
    <row r="988">
      <c r="B988" s="30"/>
      <c r="E988" s="30"/>
    </row>
    <row r="989">
      <c r="B989" s="30"/>
      <c r="E989" s="30"/>
    </row>
    <row r="990">
      <c r="B990" s="30"/>
      <c r="E990" s="30"/>
    </row>
    <row r="991">
      <c r="B991" s="30"/>
      <c r="E991" s="30"/>
    </row>
    <row r="992">
      <c r="B992" s="30"/>
      <c r="E992" s="30"/>
    </row>
    <row r="993">
      <c r="B993" s="30"/>
      <c r="E993" s="30"/>
    </row>
    <row r="994">
      <c r="B994" s="30"/>
      <c r="E994" s="30"/>
    </row>
    <row r="995">
      <c r="B995" s="30"/>
      <c r="E995" s="30"/>
    </row>
    <row r="996">
      <c r="B996" s="30"/>
      <c r="E996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4" t="s">
        <v>3</v>
      </c>
      <c r="D1" s="6"/>
      <c r="E1" s="6"/>
    </row>
    <row r="2">
      <c r="A2" s="7" t="s">
        <v>8</v>
      </c>
      <c r="B2" s="9">
        <v>1296.0</v>
      </c>
      <c r="C2" s="10">
        <f t="shared" ref="C2:C39" si="1">B2/B$43</f>
        <v>0.1847733105</v>
      </c>
      <c r="D2" s="12"/>
      <c r="E2" s="12"/>
    </row>
    <row r="3">
      <c r="A3" s="7" t="s">
        <v>16</v>
      </c>
      <c r="B3" s="13">
        <v>556.0</v>
      </c>
      <c r="C3" s="10">
        <f t="shared" si="1"/>
        <v>0.07927003137</v>
      </c>
      <c r="D3" s="12"/>
      <c r="E3" s="12"/>
    </row>
    <row r="4">
      <c r="A4" s="7" t="s">
        <v>23</v>
      </c>
      <c r="B4" s="13">
        <v>498.0</v>
      </c>
      <c r="C4" s="10">
        <f t="shared" si="1"/>
        <v>0.07100085543</v>
      </c>
      <c r="D4" s="12"/>
      <c r="E4" s="12"/>
    </row>
    <row r="5">
      <c r="A5" s="7" t="s">
        <v>25</v>
      </c>
      <c r="B5" s="13">
        <v>453.0</v>
      </c>
      <c r="C5" s="10">
        <f t="shared" si="1"/>
        <v>0.06458511548</v>
      </c>
      <c r="D5" s="12"/>
      <c r="E5" s="12"/>
    </row>
    <row r="6">
      <c r="A6" s="7" t="s">
        <v>26</v>
      </c>
      <c r="B6" s="13">
        <v>441.0</v>
      </c>
      <c r="C6" s="10">
        <f t="shared" si="1"/>
        <v>0.0628742515</v>
      </c>
      <c r="D6" s="12"/>
      <c r="E6" s="12"/>
    </row>
    <row r="7">
      <c r="A7" s="7" t="s">
        <v>27</v>
      </c>
      <c r="B7" s="13">
        <v>415.0</v>
      </c>
      <c r="C7" s="10">
        <f t="shared" si="1"/>
        <v>0.05916737953</v>
      </c>
      <c r="D7" s="12"/>
      <c r="E7" s="12"/>
    </row>
    <row r="8">
      <c r="A8" s="7" t="s">
        <v>29</v>
      </c>
      <c r="B8" s="13">
        <v>363.0</v>
      </c>
      <c r="C8" s="10">
        <f t="shared" si="1"/>
        <v>0.05175363559</v>
      </c>
      <c r="D8" s="12"/>
      <c r="E8" s="12"/>
    </row>
    <row r="9">
      <c r="A9" s="7" t="s">
        <v>31</v>
      </c>
      <c r="B9" s="13">
        <v>350.0</v>
      </c>
      <c r="C9" s="10">
        <f t="shared" si="1"/>
        <v>0.0499001996</v>
      </c>
      <c r="D9" s="12"/>
      <c r="E9" s="12"/>
    </row>
    <row r="10">
      <c r="A10" s="7" t="s">
        <v>34</v>
      </c>
      <c r="B10" s="13">
        <v>302.0</v>
      </c>
      <c r="C10" s="10">
        <f t="shared" si="1"/>
        <v>0.04305674366</v>
      </c>
      <c r="D10" s="12"/>
      <c r="E10" s="12"/>
    </row>
    <row r="11">
      <c r="A11" s="7" t="s">
        <v>36</v>
      </c>
      <c r="B11" s="13">
        <v>301.0</v>
      </c>
      <c r="C11" s="10">
        <f t="shared" si="1"/>
        <v>0.04291417166</v>
      </c>
      <c r="D11" s="12"/>
      <c r="E11" s="12"/>
    </row>
    <row r="12">
      <c r="A12" s="7" t="s">
        <v>37</v>
      </c>
      <c r="B12" s="13">
        <v>292.0</v>
      </c>
      <c r="C12" s="10">
        <f t="shared" si="1"/>
        <v>0.04163102367</v>
      </c>
      <c r="D12" s="12"/>
      <c r="E12" s="12"/>
    </row>
    <row r="13">
      <c r="A13" s="7" t="s">
        <v>39</v>
      </c>
      <c r="B13" s="13">
        <v>226.0</v>
      </c>
      <c r="C13" s="10">
        <f t="shared" si="1"/>
        <v>0.03222127174</v>
      </c>
      <c r="D13" s="12"/>
      <c r="E13" s="12"/>
    </row>
    <row r="14">
      <c r="A14" s="7" t="s">
        <v>46</v>
      </c>
      <c r="B14" s="13">
        <v>196.0</v>
      </c>
      <c r="C14" s="10">
        <f t="shared" si="1"/>
        <v>0.02794411178</v>
      </c>
      <c r="D14" s="12"/>
      <c r="E14" s="12"/>
    </row>
    <row r="15">
      <c r="A15" s="7" t="s">
        <v>49</v>
      </c>
      <c r="B15" s="13">
        <v>193.0</v>
      </c>
      <c r="C15" s="10">
        <f t="shared" si="1"/>
        <v>0.02751639578</v>
      </c>
      <c r="D15" s="12"/>
      <c r="E15" s="12"/>
    </row>
    <row r="16">
      <c r="A16" s="7" t="s">
        <v>52</v>
      </c>
      <c r="B16" s="13">
        <v>145.0</v>
      </c>
      <c r="C16" s="10">
        <f t="shared" si="1"/>
        <v>0.02067293983</v>
      </c>
      <c r="D16" s="12"/>
      <c r="E16" s="12"/>
    </row>
    <row r="17">
      <c r="A17" s="7" t="s">
        <v>54</v>
      </c>
      <c r="B17" s="13">
        <v>125.0</v>
      </c>
      <c r="C17" s="10">
        <f t="shared" si="1"/>
        <v>0.01782149986</v>
      </c>
      <c r="D17" s="12"/>
      <c r="E17" s="12"/>
    </row>
    <row r="18">
      <c r="A18" s="7" t="s">
        <v>56</v>
      </c>
      <c r="B18" s="13">
        <v>93.0</v>
      </c>
      <c r="C18" s="10">
        <f t="shared" si="1"/>
        <v>0.01325919589</v>
      </c>
      <c r="D18" s="12"/>
      <c r="E18" s="12"/>
    </row>
    <row r="19">
      <c r="A19" s="7" t="s">
        <v>59</v>
      </c>
      <c r="B19" s="13">
        <v>79.0</v>
      </c>
      <c r="C19" s="10">
        <f t="shared" si="1"/>
        <v>0.01126318791</v>
      </c>
      <c r="D19" s="12"/>
      <c r="E19" s="12"/>
    </row>
    <row r="20">
      <c r="A20" s="7" t="s">
        <v>61</v>
      </c>
      <c r="B20" s="13">
        <v>77.0</v>
      </c>
      <c r="C20" s="10">
        <f t="shared" si="1"/>
        <v>0.01097804391</v>
      </c>
      <c r="D20" s="12"/>
      <c r="E20" s="12"/>
    </row>
    <row r="21">
      <c r="A21" s="7" t="s">
        <v>65</v>
      </c>
      <c r="B21" s="13">
        <v>77.0</v>
      </c>
      <c r="C21" s="10">
        <f t="shared" si="1"/>
        <v>0.01097804391</v>
      </c>
      <c r="D21" s="12"/>
      <c r="E21" s="12"/>
    </row>
    <row r="22">
      <c r="A22" s="7" t="s">
        <v>66</v>
      </c>
      <c r="B22" s="13">
        <v>72.0</v>
      </c>
      <c r="C22" s="10">
        <f t="shared" si="1"/>
        <v>0.01026518392</v>
      </c>
      <c r="D22" s="12"/>
      <c r="E22" s="12"/>
    </row>
    <row r="23">
      <c r="A23" s="7" t="s">
        <v>67</v>
      </c>
      <c r="B23" s="13">
        <v>71.0</v>
      </c>
      <c r="C23" s="10">
        <f t="shared" si="1"/>
        <v>0.01012261192</v>
      </c>
      <c r="D23" s="12"/>
      <c r="E23" s="12"/>
    </row>
    <row r="24">
      <c r="A24" s="7" t="s">
        <v>69</v>
      </c>
      <c r="B24" s="13">
        <v>58.0</v>
      </c>
      <c r="C24" s="10">
        <f t="shared" si="1"/>
        <v>0.008269175934</v>
      </c>
      <c r="D24" s="12"/>
      <c r="E24" s="12"/>
    </row>
    <row r="25">
      <c r="A25" s="7" t="s">
        <v>70</v>
      </c>
      <c r="B25" s="13">
        <v>44.0</v>
      </c>
      <c r="C25" s="10">
        <f t="shared" si="1"/>
        <v>0.00627316795</v>
      </c>
      <c r="D25" s="12"/>
      <c r="E25" s="12"/>
    </row>
    <row r="26">
      <c r="A26" s="7" t="s">
        <v>71</v>
      </c>
      <c r="B26" s="13">
        <v>42.0</v>
      </c>
      <c r="C26" s="10">
        <f t="shared" si="1"/>
        <v>0.005988023952</v>
      </c>
      <c r="D26" s="12"/>
      <c r="E26" s="12"/>
    </row>
    <row r="27">
      <c r="A27" s="7" t="s">
        <v>72</v>
      </c>
      <c r="B27" s="13">
        <v>39.0</v>
      </c>
      <c r="C27" s="10">
        <f t="shared" si="1"/>
        <v>0.005560307956</v>
      </c>
      <c r="D27" s="12"/>
      <c r="E27" s="12"/>
    </row>
    <row r="28">
      <c r="A28" s="7" t="s">
        <v>74</v>
      </c>
      <c r="B28" s="13">
        <v>37.0</v>
      </c>
      <c r="C28" s="10">
        <f t="shared" si="1"/>
        <v>0.005275163958</v>
      </c>
      <c r="D28" s="12"/>
      <c r="E28" s="12"/>
    </row>
    <row r="29">
      <c r="A29" s="7" t="s">
        <v>75</v>
      </c>
      <c r="B29" s="13">
        <v>26.0</v>
      </c>
      <c r="C29" s="10">
        <f t="shared" si="1"/>
        <v>0.00370687197</v>
      </c>
      <c r="D29" s="12"/>
      <c r="E29" s="12"/>
    </row>
    <row r="30">
      <c r="A30" s="7" t="s">
        <v>77</v>
      </c>
      <c r="B30" s="13">
        <v>24.0</v>
      </c>
      <c r="C30" s="10">
        <f t="shared" si="1"/>
        <v>0.003421727973</v>
      </c>
      <c r="D30" s="12"/>
      <c r="E30" s="12"/>
    </row>
    <row r="31">
      <c r="A31" s="7" t="s">
        <v>78</v>
      </c>
      <c r="B31" s="13">
        <v>22.0</v>
      </c>
      <c r="C31" s="10">
        <f t="shared" si="1"/>
        <v>0.003136583975</v>
      </c>
      <c r="D31" s="12"/>
      <c r="E31" s="12"/>
    </row>
    <row r="32">
      <c r="A32" s="7" t="s">
        <v>80</v>
      </c>
      <c r="B32" s="13">
        <v>19.0</v>
      </c>
      <c r="C32" s="10">
        <f t="shared" si="1"/>
        <v>0.002708867978</v>
      </c>
      <c r="D32" s="12"/>
      <c r="E32" s="12"/>
    </row>
    <row r="33">
      <c r="A33" s="7" t="s">
        <v>81</v>
      </c>
      <c r="B33" s="13">
        <v>15.0</v>
      </c>
      <c r="C33" s="10">
        <f t="shared" si="1"/>
        <v>0.002138579983</v>
      </c>
      <c r="D33" s="12"/>
      <c r="E33" s="12"/>
    </row>
    <row r="34">
      <c r="A34" s="7" t="s">
        <v>83</v>
      </c>
      <c r="B34" s="13">
        <v>15.0</v>
      </c>
      <c r="C34" s="10">
        <f t="shared" si="1"/>
        <v>0.002138579983</v>
      </c>
      <c r="D34" s="12"/>
      <c r="E34" s="12"/>
    </row>
    <row r="35">
      <c r="A35" s="7" t="s">
        <v>84</v>
      </c>
      <c r="B35" s="13">
        <v>13.0</v>
      </c>
      <c r="C35" s="10">
        <f t="shared" si="1"/>
        <v>0.001853435985</v>
      </c>
      <c r="D35" s="12"/>
      <c r="E35" s="12"/>
    </row>
    <row r="36">
      <c r="A36" s="7" t="s">
        <v>86</v>
      </c>
      <c r="B36" s="13">
        <v>12.0</v>
      </c>
      <c r="C36" s="10">
        <f t="shared" si="1"/>
        <v>0.001710863986</v>
      </c>
    </row>
    <row r="37">
      <c r="A37" s="7" t="s">
        <v>87</v>
      </c>
      <c r="B37" s="13">
        <v>7.0</v>
      </c>
      <c r="C37" s="10">
        <f t="shared" si="1"/>
        <v>0.000998003992</v>
      </c>
    </row>
    <row r="38">
      <c r="A38" s="7" t="s">
        <v>88</v>
      </c>
      <c r="B38" s="13">
        <v>6.0</v>
      </c>
      <c r="C38" s="10">
        <f t="shared" si="1"/>
        <v>0.0008554319932</v>
      </c>
    </row>
    <row r="39">
      <c r="A39" s="7" t="s">
        <v>90</v>
      </c>
      <c r="B39" s="13">
        <v>5.0</v>
      </c>
      <c r="C39" s="10">
        <f t="shared" si="1"/>
        <v>0.0007128599943</v>
      </c>
    </row>
    <row r="40">
      <c r="A40" s="7" t="s">
        <v>91</v>
      </c>
      <c r="B40" s="13">
        <v>5.0</v>
      </c>
      <c r="C40" s="10">
        <v>0.6</v>
      </c>
    </row>
    <row r="41">
      <c r="A41" s="7" t="s">
        <v>92</v>
      </c>
      <c r="B41" s="13">
        <v>3.0</v>
      </c>
      <c r="C41" s="10">
        <v>0.67</v>
      </c>
    </row>
    <row r="42">
      <c r="A42" s="7" t="s">
        <v>93</v>
      </c>
      <c r="B42" s="13">
        <v>1.0</v>
      </c>
      <c r="C42" s="10">
        <v>1.0</v>
      </c>
    </row>
    <row r="43">
      <c r="B43" s="29">
        <f>SUM(B2:B42)</f>
        <v>7014</v>
      </c>
      <c r="C43" s="30"/>
    </row>
    <row r="44">
      <c r="B44" s="29"/>
      <c r="C44" s="30"/>
    </row>
    <row r="45">
      <c r="B45" s="29"/>
      <c r="C45" s="30"/>
    </row>
    <row r="46">
      <c r="B46" s="29"/>
      <c r="C46" s="30"/>
    </row>
    <row r="47">
      <c r="B47" s="29"/>
      <c r="C47" s="30"/>
    </row>
    <row r="48">
      <c r="B48" s="29"/>
      <c r="C48" s="30"/>
    </row>
    <row r="49">
      <c r="B49" s="29"/>
      <c r="C49" s="30"/>
    </row>
    <row r="50">
      <c r="B50" s="29"/>
      <c r="C50" s="30"/>
    </row>
    <row r="51">
      <c r="B51" s="29"/>
      <c r="C51" s="30"/>
    </row>
    <row r="52">
      <c r="B52" s="29"/>
      <c r="C52" s="30"/>
    </row>
    <row r="53">
      <c r="B53" s="29"/>
      <c r="C53" s="30"/>
    </row>
    <row r="54">
      <c r="B54" s="29"/>
      <c r="C54" s="30"/>
    </row>
    <row r="55">
      <c r="B55" s="29"/>
      <c r="C55" s="30"/>
    </row>
    <row r="56">
      <c r="B56" s="29"/>
      <c r="C56" s="30"/>
    </row>
    <row r="57">
      <c r="B57" s="29"/>
      <c r="C57" s="30"/>
    </row>
    <row r="58">
      <c r="B58" s="29"/>
      <c r="C58" s="30"/>
    </row>
    <row r="59">
      <c r="B59" s="29"/>
      <c r="C59" s="30"/>
    </row>
    <row r="60">
      <c r="B60" s="29"/>
      <c r="C60" s="30"/>
    </row>
    <row r="61">
      <c r="B61" s="29"/>
      <c r="C61" s="30"/>
    </row>
    <row r="62">
      <c r="B62" s="29"/>
      <c r="C62" s="30"/>
    </row>
    <row r="63">
      <c r="B63" s="29"/>
      <c r="C63" s="30"/>
    </row>
    <row r="64">
      <c r="B64" s="29"/>
      <c r="C64" s="30"/>
    </row>
    <row r="65">
      <c r="B65" s="29"/>
      <c r="C65" s="30"/>
    </row>
    <row r="66">
      <c r="B66" s="29"/>
      <c r="C66" s="30"/>
    </row>
    <row r="67">
      <c r="B67" s="29"/>
      <c r="C67" s="30"/>
    </row>
    <row r="68">
      <c r="B68" s="29"/>
      <c r="C68" s="30"/>
    </row>
    <row r="69">
      <c r="B69" s="29"/>
      <c r="C69" s="30"/>
    </row>
    <row r="70">
      <c r="B70" s="29"/>
      <c r="C70" s="30"/>
    </row>
    <row r="71">
      <c r="B71" s="29"/>
      <c r="C71" s="30"/>
    </row>
    <row r="72">
      <c r="B72" s="29"/>
      <c r="C72" s="30"/>
    </row>
    <row r="73">
      <c r="B73" s="29"/>
      <c r="C73" s="30"/>
    </row>
    <row r="74">
      <c r="B74" s="29"/>
      <c r="C74" s="30"/>
    </row>
    <row r="75">
      <c r="B75" s="29"/>
      <c r="C75" s="30"/>
    </row>
    <row r="76">
      <c r="B76" s="29"/>
      <c r="C76" s="30"/>
    </row>
    <row r="77">
      <c r="B77" s="29"/>
      <c r="C77" s="30"/>
    </row>
    <row r="78">
      <c r="B78" s="29"/>
      <c r="C78" s="30"/>
    </row>
    <row r="79">
      <c r="B79" s="29"/>
      <c r="C79" s="30"/>
    </row>
    <row r="80">
      <c r="B80" s="29"/>
      <c r="C80" s="30"/>
    </row>
    <row r="81">
      <c r="B81" s="29"/>
      <c r="C81" s="30"/>
    </row>
    <row r="82">
      <c r="B82" s="29"/>
      <c r="C82" s="30"/>
    </row>
    <row r="83">
      <c r="B83" s="29"/>
      <c r="C83" s="30"/>
    </row>
    <row r="84">
      <c r="B84" s="29"/>
      <c r="C84" s="30"/>
    </row>
    <row r="85">
      <c r="B85" s="29"/>
      <c r="C85" s="30"/>
    </row>
    <row r="86">
      <c r="B86" s="29"/>
      <c r="C86" s="30"/>
    </row>
    <row r="87">
      <c r="B87" s="29"/>
      <c r="C87" s="30"/>
    </row>
    <row r="88">
      <c r="B88" s="29"/>
      <c r="C88" s="30"/>
    </row>
    <row r="89">
      <c r="B89" s="29"/>
      <c r="C89" s="30"/>
    </row>
    <row r="90">
      <c r="B90" s="29"/>
      <c r="C90" s="30"/>
    </row>
    <row r="91">
      <c r="B91" s="29"/>
      <c r="C91" s="30"/>
    </row>
    <row r="92">
      <c r="B92" s="29"/>
      <c r="C92" s="30"/>
    </row>
    <row r="93">
      <c r="B93" s="29"/>
      <c r="C93" s="30"/>
    </row>
    <row r="94">
      <c r="B94" s="29"/>
      <c r="C94" s="30"/>
    </row>
    <row r="95">
      <c r="B95" s="29"/>
      <c r="C95" s="30"/>
    </row>
    <row r="96">
      <c r="B96" s="29"/>
      <c r="C96" s="30"/>
    </row>
    <row r="97">
      <c r="B97" s="29"/>
      <c r="C97" s="30"/>
    </row>
    <row r="98">
      <c r="B98" s="29"/>
      <c r="C98" s="30"/>
    </row>
    <row r="99">
      <c r="B99" s="29"/>
      <c r="C99" s="30"/>
    </row>
    <row r="100">
      <c r="B100" s="29"/>
      <c r="C100" s="30"/>
    </row>
    <row r="101">
      <c r="B101" s="29"/>
      <c r="C101" s="30"/>
    </row>
    <row r="102">
      <c r="B102" s="29"/>
      <c r="C102" s="30"/>
    </row>
    <row r="103">
      <c r="B103" s="29"/>
      <c r="C103" s="30"/>
    </row>
    <row r="104">
      <c r="B104" s="29"/>
      <c r="C104" s="30"/>
    </row>
    <row r="105">
      <c r="B105" s="29"/>
      <c r="C105" s="30"/>
    </row>
    <row r="106">
      <c r="B106" s="29"/>
      <c r="C106" s="30"/>
    </row>
    <row r="107">
      <c r="B107" s="29"/>
      <c r="C107" s="30"/>
    </row>
    <row r="108">
      <c r="B108" s="29"/>
      <c r="C108" s="30"/>
    </row>
    <row r="109">
      <c r="B109" s="29"/>
      <c r="C109" s="30"/>
    </row>
    <row r="110">
      <c r="B110" s="29"/>
      <c r="C110" s="30"/>
    </row>
    <row r="111">
      <c r="B111" s="29"/>
      <c r="C111" s="30"/>
    </row>
    <row r="112">
      <c r="B112" s="29"/>
      <c r="C112" s="30"/>
    </row>
    <row r="113">
      <c r="B113" s="29"/>
      <c r="C113" s="30"/>
    </row>
    <row r="114">
      <c r="B114" s="29"/>
      <c r="C114" s="30"/>
    </row>
    <row r="115">
      <c r="B115" s="29"/>
      <c r="C115" s="30"/>
    </row>
    <row r="116">
      <c r="B116" s="29"/>
      <c r="C116" s="30"/>
    </row>
    <row r="117">
      <c r="B117" s="29"/>
      <c r="C117" s="30"/>
    </row>
    <row r="118">
      <c r="B118" s="29"/>
      <c r="C118" s="30"/>
    </row>
    <row r="119">
      <c r="B119" s="29"/>
      <c r="C119" s="30"/>
    </row>
    <row r="120">
      <c r="B120" s="29"/>
      <c r="C120" s="30"/>
    </row>
    <row r="121">
      <c r="B121" s="29"/>
      <c r="C121" s="30"/>
    </row>
    <row r="122">
      <c r="B122" s="29"/>
      <c r="C122" s="30"/>
    </row>
    <row r="123">
      <c r="B123" s="29"/>
      <c r="C123" s="30"/>
    </row>
    <row r="124">
      <c r="B124" s="29"/>
      <c r="C124" s="30"/>
    </row>
    <row r="125">
      <c r="B125" s="29"/>
      <c r="C125" s="30"/>
    </row>
    <row r="126">
      <c r="B126" s="29"/>
      <c r="C126" s="30"/>
    </row>
    <row r="127">
      <c r="B127" s="29"/>
      <c r="C127" s="30"/>
    </row>
    <row r="128">
      <c r="B128" s="29"/>
      <c r="C128" s="30"/>
    </row>
    <row r="129">
      <c r="B129" s="29"/>
      <c r="C129" s="30"/>
    </row>
    <row r="130">
      <c r="B130" s="29"/>
      <c r="C130" s="30"/>
    </row>
    <row r="131">
      <c r="B131" s="29"/>
      <c r="C131" s="30"/>
    </row>
    <row r="132">
      <c r="B132" s="29"/>
      <c r="C132" s="30"/>
    </row>
    <row r="133">
      <c r="B133" s="29"/>
      <c r="C133" s="30"/>
    </row>
    <row r="134">
      <c r="B134" s="29"/>
      <c r="C134" s="30"/>
    </row>
    <row r="135">
      <c r="B135" s="29"/>
      <c r="C135" s="30"/>
    </row>
    <row r="136">
      <c r="B136" s="29"/>
      <c r="C136" s="30"/>
    </row>
    <row r="137">
      <c r="B137" s="29"/>
      <c r="C137" s="30"/>
    </row>
    <row r="138">
      <c r="B138" s="29"/>
      <c r="C138" s="30"/>
    </row>
    <row r="139">
      <c r="B139" s="29"/>
      <c r="C139" s="30"/>
    </row>
    <row r="140">
      <c r="B140" s="29"/>
      <c r="C140" s="30"/>
    </row>
    <row r="141">
      <c r="B141" s="29"/>
      <c r="C141" s="30"/>
    </row>
    <row r="142">
      <c r="B142" s="29"/>
      <c r="C142" s="30"/>
    </row>
    <row r="143">
      <c r="B143" s="29"/>
      <c r="C143" s="30"/>
    </row>
    <row r="144">
      <c r="B144" s="29"/>
      <c r="C144" s="30"/>
    </row>
    <row r="145">
      <c r="B145" s="29"/>
      <c r="C145" s="30"/>
    </row>
    <row r="146">
      <c r="B146" s="29"/>
      <c r="C146" s="30"/>
    </row>
    <row r="147">
      <c r="B147" s="29"/>
      <c r="C147" s="30"/>
    </row>
    <row r="148">
      <c r="B148" s="29"/>
      <c r="C148" s="30"/>
    </row>
    <row r="149">
      <c r="B149" s="29"/>
      <c r="C149" s="30"/>
    </row>
    <row r="150">
      <c r="B150" s="29"/>
      <c r="C150" s="30"/>
    </row>
    <row r="151">
      <c r="B151" s="29"/>
      <c r="C151" s="30"/>
    </row>
    <row r="152">
      <c r="B152" s="29"/>
      <c r="C152" s="30"/>
    </row>
    <row r="153">
      <c r="B153" s="29"/>
      <c r="C153" s="30"/>
    </row>
    <row r="154">
      <c r="B154" s="29"/>
      <c r="C154" s="30"/>
    </row>
    <row r="155">
      <c r="B155" s="29"/>
      <c r="C155" s="30"/>
    </row>
    <row r="156">
      <c r="B156" s="29"/>
      <c r="C156" s="30"/>
    </row>
    <row r="157">
      <c r="B157" s="29"/>
      <c r="C157" s="30"/>
    </row>
    <row r="158">
      <c r="B158" s="29"/>
      <c r="C158" s="30"/>
    </row>
    <row r="159">
      <c r="B159" s="29"/>
      <c r="C159" s="30"/>
    </row>
    <row r="160">
      <c r="B160" s="29"/>
      <c r="C160" s="30"/>
    </row>
    <row r="161">
      <c r="B161" s="29"/>
      <c r="C161" s="30"/>
    </row>
    <row r="162">
      <c r="B162" s="29"/>
      <c r="C162" s="30"/>
    </row>
    <row r="163">
      <c r="B163" s="29"/>
      <c r="C163" s="30"/>
    </row>
    <row r="164">
      <c r="B164" s="29"/>
      <c r="C164" s="30"/>
    </row>
    <row r="165">
      <c r="B165" s="29"/>
      <c r="C165" s="30"/>
    </row>
    <row r="166">
      <c r="B166" s="29"/>
      <c r="C166" s="30"/>
    </row>
    <row r="167">
      <c r="B167" s="29"/>
      <c r="C167" s="30"/>
    </row>
    <row r="168">
      <c r="B168" s="29"/>
      <c r="C168" s="30"/>
    </row>
    <row r="169">
      <c r="B169" s="29"/>
      <c r="C169" s="30"/>
    </row>
    <row r="170">
      <c r="B170" s="29"/>
      <c r="C170" s="30"/>
    </row>
    <row r="171">
      <c r="B171" s="29"/>
      <c r="C171" s="30"/>
    </row>
    <row r="172">
      <c r="B172" s="29"/>
      <c r="C172" s="30"/>
    </row>
    <row r="173">
      <c r="B173" s="29"/>
      <c r="C173" s="30"/>
    </row>
    <row r="174">
      <c r="B174" s="29"/>
      <c r="C174" s="30"/>
    </row>
    <row r="175">
      <c r="B175" s="29"/>
      <c r="C175" s="30"/>
    </row>
    <row r="176">
      <c r="B176" s="29"/>
      <c r="C176" s="30"/>
    </row>
    <row r="177">
      <c r="B177" s="29"/>
      <c r="C177" s="30"/>
    </row>
    <row r="178">
      <c r="B178" s="29"/>
      <c r="C178" s="30"/>
    </row>
    <row r="179">
      <c r="B179" s="29"/>
      <c r="C179" s="30"/>
    </row>
    <row r="180">
      <c r="B180" s="29"/>
      <c r="C180" s="30"/>
    </row>
    <row r="181">
      <c r="B181" s="29"/>
      <c r="C181" s="30"/>
    </row>
    <row r="182">
      <c r="B182" s="29"/>
      <c r="C182" s="30"/>
    </row>
    <row r="183">
      <c r="B183" s="29"/>
      <c r="C183" s="30"/>
    </row>
    <row r="184">
      <c r="B184" s="29"/>
      <c r="C184" s="30"/>
    </row>
    <row r="185">
      <c r="B185" s="29"/>
      <c r="C185" s="30"/>
    </row>
    <row r="186">
      <c r="B186" s="29"/>
      <c r="C186" s="30"/>
    </row>
    <row r="187">
      <c r="B187" s="29"/>
      <c r="C187" s="30"/>
    </row>
    <row r="188">
      <c r="B188" s="29"/>
      <c r="C188" s="30"/>
    </row>
    <row r="189">
      <c r="B189" s="29"/>
      <c r="C189" s="30"/>
    </row>
    <row r="190">
      <c r="B190" s="29"/>
      <c r="C190" s="30"/>
    </row>
    <row r="191">
      <c r="B191" s="29"/>
      <c r="C191" s="30"/>
    </row>
    <row r="192">
      <c r="B192" s="29"/>
      <c r="C192" s="30"/>
    </row>
    <row r="193">
      <c r="B193" s="29"/>
      <c r="C193" s="30"/>
    </row>
    <row r="194">
      <c r="B194" s="29"/>
      <c r="C194" s="30"/>
    </row>
    <row r="195">
      <c r="B195" s="29"/>
      <c r="C195" s="30"/>
    </row>
    <row r="196">
      <c r="B196" s="29"/>
      <c r="C196" s="30"/>
    </row>
    <row r="197">
      <c r="B197" s="29"/>
      <c r="C197" s="30"/>
    </row>
    <row r="198">
      <c r="B198" s="29"/>
      <c r="C198" s="30"/>
    </row>
    <row r="199">
      <c r="B199" s="29"/>
      <c r="C199" s="30"/>
    </row>
    <row r="200">
      <c r="B200" s="29"/>
      <c r="C200" s="30"/>
    </row>
    <row r="201">
      <c r="B201" s="29"/>
      <c r="C201" s="30"/>
    </row>
    <row r="202">
      <c r="B202" s="29"/>
      <c r="C202" s="30"/>
    </row>
    <row r="203">
      <c r="B203" s="29"/>
      <c r="C203" s="30"/>
    </row>
    <row r="204">
      <c r="B204" s="29"/>
      <c r="C204" s="30"/>
    </row>
    <row r="205">
      <c r="B205" s="29"/>
      <c r="C205" s="30"/>
    </row>
    <row r="206">
      <c r="B206" s="29"/>
      <c r="C206" s="30"/>
    </row>
    <row r="207">
      <c r="B207" s="29"/>
      <c r="C207" s="30"/>
    </row>
    <row r="208">
      <c r="B208" s="29"/>
      <c r="C208" s="30"/>
    </row>
    <row r="209">
      <c r="B209" s="29"/>
      <c r="C209" s="30"/>
    </row>
    <row r="210">
      <c r="B210" s="29"/>
      <c r="C210" s="30"/>
    </row>
    <row r="211">
      <c r="B211" s="29"/>
      <c r="C211" s="30"/>
    </row>
    <row r="212">
      <c r="B212" s="29"/>
      <c r="C212" s="30"/>
    </row>
    <row r="213">
      <c r="B213" s="29"/>
      <c r="C213" s="30"/>
    </row>
    <row r="214">
      <c r="B214" s="29"/>
      <c r="C214" s="30"/>
    </row>
    <row r="215">
      <c r="B215" s="29"/>
      <c r="C215" s="30"/>
    </row>
    <row r="216">
      <c r="B216" s="29"/>
      <c r="C216" s="30"/>
    </row>
    <row r="217">
      <c r="B217" s="29"/>
      <c r="C217" s="30"/>
    </row>
    <row r="218">
      <c r="B218" s="29"/>
      <c r="C218" s="30"/>
    </row>
    <row r="219">
      <c r="B219" s="29"/>
      <c r="C219" s="30"/>
    </row>
    <row r="220">
      <c r="B220" s="29"/>
      <c r="C220" s="30"/>
    </row>
    <row r="221">
      <c r="B221" s="29"/>
      <c r="C221" s="30"/>
    </row>
    <row r="222">
      <c r="B222" s="29"/>
      <c r="C222" s="30"/>
    </row>
    <row r="223">
      <c r="B223" s="29"/>
      <c r="C223" s="30"/>
    </row>
    <row r="224">
      <c r="B224" s="29"/>
      <c r="C224" s="30"/>
    </row>
    <row r="225">
      <c r="B225" s="29"/>
      <c r="C225" s="30"/>
    </row>
    <row r="226">
      <c r="B226" s="29"/>
      <c r="C226" s="30"/>
    </row>
    <row r="227">
      <c r="B227" s="29"/>
      <c r="C227" s="30"/>
    </row>
    <row r="228">
      <c r="B228" s="29"/>
      <c r="C228" s="30"/>
    </row>
    <row r="229">
      <c r="B229" s="29"/>
      <c r="C229" s="30"/>
    </row>
    <row r="230">
      <c r="B230" s="29"/>
      <c r="C230" s="30"/>
    </row>
    <row r="231">
      <c r="B231" s="29"/>
      <c r="C231" s="30"/>
    </row>
    <row r="232">
      <c r="B232" s="29"/>
      <c r="C232" s="30"/>
    </row>
    <row r="233">
      <c r="B233" s="29"/>
      <c r="C233" s="30"/>
    </row>
    <row r="234">
      <c r="B234" s="29"/>
      <c r="C234" s="30"/>
    </row>
    <row r="235">
      <c r="B235" s="29"/>
      <c r="C235" s="30"/>
    </row>
    <row r="236">
      <c r="B236" s="29"/>
      <c r="C236" s="30"/>
    </row>
    <row r="237">
      <c r="B237" s="29"/>
      <c r="C237" s="30"/>
    </row>
    <row r="238">
      <c r="B238" s="29"/>
      <c r="C238" s="30"/>
    </row>
    <row r="239">
      <c r="B239" s="29"/>
      <c r="C239" s="30"/>
    </row>
    <row r="240">
      <c r="B240" s="29"/>
      <c r="C240" s="30"/>
    </row>
    <row r="241">
      <c r="B241" s="29"/>
      <c r="C241" s="30"/>
    </row>
    <row r="242">
      <c r="B242" s="29"/>
      <c r="C242" s="30"/>
    </row>
    <row r="243">
      <c r="B243" s="29"/>
      <c r="C243" s="30"/>
    </row>
    <row r="244">
      <c r="B244" s="29"/>
      <c r="C244" s="30"/>
    </row>
    <row r="245">
      <c r="B245" s="29"/>
      <c r="C245" s="30"/>
    </row>
    <row r="246">
      <c r="B246" s="29"/>
      <c r="C246" s="30"/>
    </row>
    <row r="247">
      <c r="B247" s="29"/>
      <c r="C247" s="30"/>
    </row>
    <row r="248">
      <c r="B248" s="29"/>
      <c r="C248" s="30"/>
    </row>
    <row r="249">
      <c r="B249" s="29"/>
      <c r="C249" s="30"/>
    </row>
    <row r="250">
      <c r="B250" s="29"/>
      <c r="C250" s="30"/>
    </row>
    <row r="251">
      <c r="B251" s="29"/>
      <c r="C251" s="30"/>
    </row>
    <row r="252">
      <c r="B252" s="29"/>
      <c r="C252" s="30"/>
    </row>
    <row r="253">
      <c r="B253" s="29"/>
      <c r="C253" s="30"/>
    </row>
    <row r="254">
      <c r="B254" s="29"/>
      <c r="C254" s="30"/>
    </row>
    <row r="255">
      <c r="B255" s="29"/>
      <c r="C255" s="30"/>
    </row>
    <row r="256">
      <c r="B256" s="29"/>
      <c r="C256" s="30"/>
    </row>
    <row r="257">
      <c r="B257" s="29"/>
      <c r="C257" s="30"/>
    </row>
    <row r="258">
      <c r="B258" s="29"/>
      <c r="C258" s="30"/>
    </row>
    <row r="259">
      <c r="B259" s="29"/>
      <c r="C259" s="30"/>
    </row>
    <row r="260">
      <c r="B260" s="29"/>
      <c r="C260" s="30"/>
    </row>
    <row r="261">
      <c r="B261" s="29"/>
      <c r="C261" s="30"/>
    </row>
    <row r="262">
      <c r="B262" s="29"/>
      <c r="C262" s="30"/>
    </row>
    <row r="263">
      <c r="B263" s="29"/>
      <c r="C263" s="30"/>
    </row>
    <row r="264">
      <c r="B264" s="29"/>
      <c r="C264" s="30"/>
    </row>
    <row r="265">
      <c r="B265" s="29"/>
      <c r="C265" s="30"/>
    </row>
    <row r="266">
      <c r="B266" s="29"/>
      <c r="C266" s="30"/>
    </row>
    <row r="267">
      <c r="B267" s="29"/>
      <c r="C267" s="30"/>
    </row>
    <row r="268">
      <c r="B268" s="29"/>
      <c r="C268" s="30"/>
    </row>
    <row r="269">
      <c r="B269" s="29"/>
      <c r="C269" s="30"/>
    </row>
    <row r="270">
      <c r="B270" s="29"/>
      <c r="C270" s="30"/>
    </row>
    <row r="271">
      <c r="B271" s="29"/>
      <c r="C271" s="30"/>
    </row>
    <row r="272">
      <c r="B272" s="29"/>
      <c r="C272" s="30"/>
    </row>
    <row r="273">
      <c r="B273" s="29"/>
      <c r="C273" s="30"/>
    </row>
    <row r="274">
      <c r="B274" s="29"/>
      <c r="C274" s="30"/>
    </row>
    <row r="275">
      <c r="B275" s="29"/>
      <c r="C275" s="30"/>
    </row>
    <row r="276">
      <c r="B276" s="29"/>
      <c r="C276" s="30"/>
    </row>
    <row r="277">
      <c r="B277" s="29"/>
      <c r="C277" s="30"/>
    </row>
    <row r="278">
      <c r="B278" s="29"/>
      <c r="C278" s="30"/>
    </row>
    <row r="279">
      <c r="B279" s="29"/>
      <c r="C279" s="30"/>
    </row>
    <row r="280">
      <c r="B280" s="29"/>
      <c r="C280" s="30"/>
    </row>
    <row r="281">
      <c r="B281" s="29"/>
      <c r="C281" s="30"/>
    </row>
    <row r="282">
      <c r="B282" s="29"/>
      <c r="C282" s="30"/>
    </row>
    <row r="283">
      <c r="B283" s="29"/>
      <c r="C283" s="30"/>
    </row>
    <row r="284">
      <c r="B284" s="29"/>
      <c r="C284" s="30"/>
    </row>
    <row r="285">
      <c r="B285" s="29"/>
      <c r="C285" s="30"/>
    </row>
    <row r="286">
      <c r="B286" s="29"/>
      <c r="C286" s="30"/>
    </row>
    <row r="287">
      <c r="B287" s="29"/>
      <c r="C287" s="30"/>
    </row>
    <row r="288">
      <c r="B288" s="29"/>
      <c r="C288" s="30"/>
    </row>
    <row r="289">
      <c r="B289" s="29"/>
      <c r="C289" s="30"/>
    </row>
    <row r="290">
      <c r="B290" s="29"/>
      <c r="C290" s="30"/>
    </row>
    <row r="291">
      <c r="B291" s="29"/>
      <c r="C291" s="30"/>
    </row>
    <row r="292">
      <c r="B292" s="29"/>
      <c r="C292" s="30"/>
    </row>
    <row r="293">
      <c r="B293" s="29"/>
      <c r="C293" s="30"/>
    </row>
    <row r="294">
      <c r="B294" s="29"/>
      <c r="C294" s="30"/>
    </row>
    <row r="295">
      <c r="B295" s="29"/>
      <c r="C295" s="30"/>
    </row>
    <row r="296">
      <c r="B296" s="29"/>
      <c r="C296" s="30"/>
    </row>
    <row r="297">
      <c r="B297" s="29"/>
      <c r="C297" s="30"/>
    </row>
    <row r="298">
      <c r="B298" s="29"/>
      <c r="C298" s="30"/>
    </row>
    <row r="299">
      <c r="B299" s="29"/>
      <c r="C299" s="30"/>
    </row>
    <row r="300">
      <c r="B300" s="29"/>
      <c r="C300" s="30"/>
    </row>
    <row r="301">
      <c r="B301" s="29"/>
      <c r="C301" s="30"/>
    </row>
    <row r="302">
      <c r="B302" s="29"/>
      <c r="C302" s="30"/>
    </row>
    <row r="303">
      <c r="B303" s="29"/>
      <c r="C303" s="30"/>
    </row>
    <row r="304">
      <c r="B304" s="29"/>
      <c r="C304" s="30"/>
    </row>
    <row r="305">
      <c r="B305" s="29"/>
      <c r="C305" s="30"/>
    </row>
    <row r="306">
      <c r="B306" s="29"/>
      <c r="C306" s="30"/>
    </row>
    <row r="307">
      <c r="B307" s="29"/>
      <c r="C307" s="30"/>
    </row>
    <row r="308">
      <c r="B308" s="29"/>
      <c r="C308" s="30"/>
    </row>
    <row r="309">
      <c r="B309" s="29"/>
      <c r="C309" s="30"/>
    </row>
    <row r="310">
      <c r="B310" s="29"/>
      <c r="C310" s="30"/>
    </row>
    <row r="311">
      <c r="B311" s="29"/>
      <c r="C311" s="30"/>
    </row>
    <row r="312">
      <c r="B312" s="29"/>
      <c r="C312" s="30"/>
    </row>
    <row r="313">
      <c r="B313" s="29"/>
      <c r="C313" s="30"/>
    </row>
    <row r="314">
      <c r="B314" s="29"/>
      <c r="C314" s="30"/>
    </row>
    <row r="315">
      <c r="B315" s="29"/>
      <c r="C315" s="30"/>
    </row>
    <row r="316">
      <c r="B316" s="29"/>
      <c r="C316" s="30"/>
    </row>
    <row r="317">
      <c r="B317" s="29"/>
      <c r="C317" s="30"/>
    </row>
    <row r="318">
      <c r="B318" s="29"/>
      <c r="C318" s="30"/>
    </row>
    <row r="319">
      <c r="B319" s="29"/>
      <c r="C319" s="30"/>
    </row>
    <row r="320">
      <c r="B320" s="29"/>
      <c r="C320" s="30"/>
    </row>
    <row r="321">
      <c r="B321" s="29"/>
      <c r="C321" s="30"/>
    </row>
    <row r="322">
      <c r="B322" s="29"/>
      <c r="C322" s="30"/>
    </row>
    <row r="323">
      <c r="B323" s="29"/>
      <c r="C323" s="30"/>
    </row>
    <row r="324">
      <c r="B324" s="29"/>
      <c r="C324" s="30"/>
    </row>
    <row r="325">
      <c r="B325" s="29"/>
      <c r="C325" s="30"/>
    </row>
    <row r="326">
      <c r="B326" s="29"/>
      <c r="C326" s="30"/>
    </row>
    <row r="327">
      <c r="B327" s="29"/>
      <c r="C327" s="30"/>
    </row>
    <row r="328">
      <c r="B328" s="29"/>
      <c r="C328" s="30"/>
    </row>
    <row r="329">
      <c r="B329" s="29"/>
      <c r="C329" s="30"/>
    </row>
    <row r="330">
      <c r="B330" s="29"/>
      <c r="C330" s="30"/>
    </row>
    <row r="331">
      <c r="B331" s="29"/>
      <c r="C331" s="30"/>
    </row>
    <row r="332">
      <c r="B332" s="29"/>
      <c r="C332" s="30"/>
    </row>
    <row r="333">
      <c r="B333" s="29"/>
      <c r="C333" s="30"/>
    </row>
    <row r="334">
      <c r="B334" s="29"/>
      <c r="C334" s="30"/>
    </row>
    <row r="335">
      <c r="B335" s="29"/>
      <c r="C335" s="30"/>
    </row>
    <row r="336">
      <c r="B336" s="29"/>
      <c r="C336" s="30"/>
    </row>
    <row r="337">
      <c r="B337" s="29"/>
      <c r="C337" s="30"/>
    </row>
    <row r="338">
      <c r="B338" s="29"/>
      <c r="C338" s="30"/>
    </row>
    <row r="339">
      <c r="B339" s="29"/>
      <c r="C339" s="30"/>
    </row>
    <row r="340">
      <c r="B340" s="29"/>
      <c r="C340" s="30"/>
    </row>
    <row r="341">
      <c r="B341" s="29"/>
      <c r="C341" s="30"/>
    </row>
    <row r="342">
      <c r="B342" s="29"/>
      <c r="C342" s="30"/>
    </row>
    <row r="343">
      <c r="B343" s="29"/>
      <c r="C343" s="30"/>
    </row>
    <row r="344">
      <c r="B344" s="29"/>
      <c r="C344" s="30"/>
    </row>
    <row r="345">
      <c r="B345" s="29"/>
      <c r="C345" s="30"/>
    </row>
    <row r="346">
      <c r="B346" s="29"/>
      <c r="C346" s="30"/>
    </row>
    <row r="347">
      <c r="B347" s="29"/>
      <c r="C347" s="30"/>
    </row>
    <row r="348">
      <c r="B348" s="29"/>
      <c r="C348" s="30"/>
    </row>
    <row r="349">
      <c r="B349" s="29"/>
      <c r="C349" s="30"/>
    </row>
    <row r="350">
      <c r="B350" s="29"/>
      <c r="C350" s="30"/>
    </row>
    <row r="351">
      <c r="B351" s="29"/>
      <c r="C351" s="30"/>
    </row>
    <row r="352">
      <c r="B352" s="29"/>
      <c r="C352" s="30"/>
    </row>
    <row r="353">
      <c r="B353" s="29"/>
      <c r="C353" s="30"/>
    </row>
    <row r="354">
      <c r="B354" s="29"/>
      <c r="C354" s="30"/>
    </row>
    <row r="355">
      <c r="B355" s="29"/>
      <c r="C355" s="30"/>
    </row>
    <row r="356">
      <c r="B356" s="29"/>
      <c r="C356" s="30"/>
    </row>
    <row r="357">
      <c r="B357" s="29"/>
      <c r="C357" s="30"/>
    </row>
    <row r="358">
      <c r="B358" s="29"/>
      <c r="C358" s="30"/>
    </row>
    <row r="359">
      <c r="B359" s="29"/>
      <c r="C359" s="30"/>
    </row>
    <row r="360">
      <c r="B360" s="29"/>
      <c r="C360" s="30"/>
    </row>
    <row r="361">
      <c r="B361" s="29"/>
      <c r="C361" s="30"/>
    </row>
    <row r="362">
      <c r="B362" s="29"/>
      <c r="C362" s="30"/>
    </row>
    <row r="363">
      <c r="B363" s="29"/>
      <c r="C363" s="30"/>
    </row>
    <row r="364">
      <c r="B364" s="29"/>
      <c r="C364" s="30"/>
    </row>
    <row r="365">
      <c r="B365" s="29"/>
      <c r="C365" s="30"/>
    </row>
    <row r="366">
      <c r="B366" s="29"/>
      <c r="C366" s="30"/>
    </row>
    <row r="367">
      <c r="B367" s="29"/>
      <c r="C367" s="30"/>
    </row>
    <row r="368">
      <c r="B368" s="29"/>
      <c r="C368" s="30"/>
    </row>
    <row r="369">
      <c r="B369" s="29"/>
      <c r="C369" s="30"/>
    </row>
    <row r="370">
      <c r="B370" s="29"/>
      <c r="C370" s="30"/>
    </row>
    <row r="371">
      <c r="B371" s="29"/>
      <c r="C371" s="30"/>
    </row>
    <row r="372">
      <c r="B372" s="29"/>
      <c r="C372" s="30"/>
    </row>
    <row r="373">
      <c r="B373" s="29"/>
      <c r="C373" s="30"/>
    </row>
    <row r="374">
      <c r="B374" s="29"/>
      <c r="C374" s="30"/>
    </row>
    <row r="375">
      <c r="B375" s="29"/>
      <c r="C375" s="30"/>
    </row>
    <row r="376">
      <c r="B376" s="29"/>
      <c r="C376" s="30"/>
    </row>
    <row r="377">
      <c r="B377" s="29"/>
      <c r="C377" s="30"/>
    </row>
    <row r="378">
      <c r="B378" s="29"/>
      <c r="C378" s="30"/>
    </row>
    <row r="379">
      <c r="B379" s="29"/>
      <c r="C379" s="30"/>
    </row>
    <row r="380">
      <c r="B380" s="29"/>
      <c r="C380" s="30"/>
    </row>
    <row r="381">
      <c r="B381" s="29"/>
      <c r="C381" s="30"/>
    </row>
    <row r="382">
      <c r="B382" s="29"/>
      <c r="C382" s="30"/>
    </row>
    <row r="383">
      <c r="B383" s="29"/>
      <c r="C383" s="30"/>
    </row>
    <row r="384">
      <c r="B384" s="29"/>
      <c r="C384" s="30"/>
    </row>
    <row r="385">
      <c r="B385" s="29"/>
      <c r="C385" s="30"/>
    </row>
    <row r="386">
      <c r="B386" s="29"/>
      <c r="C386" s="30"/>
    </row>
    <row r="387">
      <c r="B387" s="29"/>
      <c r="C387" s="30"/>
    </row>
    <row r="388">
      <c r="B388" s="29"/>
      <c r="C388" s="30"/>
    </row>
    <row r="389">
      <c r="B389" s="29"/>
      <c r="C389" s="30"/>
    </row>
    <row r="390">
      <c r="B390" s="29"/>
      <c r="C390" s="30"/>
    </row>
    <row r="391">
      <c r="B391" s="29"/>
      <c r="C391" s="30"/>
    </row>
    <row r="392">
      <c r="B392" s="29"/>
      <c r="C392" s="30"/>
    </row>
    <row r="393">
      <c r="B393" s="29"/>
      <c r="C393" s="30"/>
    </row>
    <row r="394">
      <c r="B394" s="29"/>
      <c r="C394" s="30"/>
    </row>
    <row r="395">
      <c r="B395" s="29"/>
      <c r="C395" s="30"/>
    </row>
    <row r="396">
      <c r="B396" s="29"/>
      <c r="C396" s="30"/>
    </row>
    <row r="397">
      <c r="B397" s="29"/>
      <c r="C397" s="30"/>
    </row>
    <row r="398">
      <c r="B398" s="29"/>
      <c r="C398" s="30"/>
    </row>
    <row r="399">
      <c r="B399" s="29"/>
      <c r="C399" s="30"/>
    </row>
    <row r="400">
      <c r="B400" s="29"/>
      <c r="C400" s="30"/>
    </row>
    <row r="401">
      <c r="B401" s="29"/>
      <c r="C401" s="30"/>
    </row>
    <row r="402">
      <c r="B402" s="29"/>
      <c r="C402" s="30"/>
    </row>
    <row r="403">
      <c r="B403" s="29"/>
      <c r="C403" s="30"/>
    </row>
    <row r="404">
      <c r="B404" s="29"/>
      <c r="C404" s="30"/>
    </row>
    <row r="405">
      <c r="B405" s="29"/>
      <c r="C405" s="30"/>
    </row>
    <row r="406">
      <c r="B406" s="29"/>
      <c r="C406" s="30"/>
    </row>
    <row r="407">
      <c r="B407" s="29"/>
      <c r="C407" s="30"/>
    </row>
    <row r="408">
      <c r="B408" s="29"/>
      <c r="C408" s="30"/>
    </row>
    <row r="409">
      <c r="B409" s="29"/>
      <c r="C409" s="30"/>
    </row>
    <row r="410">
      <c r="B410" s="29"/>
      <c r="C410" s="30"/>
    </row>
    <row r="411">
      <c r="B411" s="29"/>
      <c r="C411" s="30"/>
    </row>
    <row r="412">
      <c r="B412" s="29"/>
      <c r="C412" s="30"/>
    </row>
    <row r="413">
      <c r="B413" s="29"/>
      <c r="C413" s="30"/>
    </row>
    <row r="414">
      <c r="B414" s="29"/>
      <c r="C414" s="30"/>
    </row>
    <row r="415">
      <c r="B415" s="29"/>
      <c r="C415" s="30"/>
    </row>
    <row r="416">
      <c r="B416" s="29"/>
      <c r="C416" s="30"/>
    </row>
    <row r="417">
      <c r="B417" s="29"/>
      <c r="C417" s="30"/>
    </row>
    <row r="418">
      <c r="B418" s="29"/>
      <c r="C418" s="30"/>
    </row>
    <row r="419">
      <c r="B419" s="29"/>
      <c r="C419" s="30"/>
    </row>
    <row r="420">
      <c r="B420" s="29"/>
      <c r="C420" s="30"/>
    </row>
    <row r="421">
      <c r="B421" s="29"/>
      <c r="C421" s="30"/>
    </row>
    <row r="422">
      <c r="B422" s="29"/>
      <c r="C422" s="30"/>
    </row>
    <row r="423">
      <c r="B423" s="29"/>
      <c r="C423" s="30"/>
    </row>
    <row r="424">
      <c r="B424" s="29"/>
      <c r="C424" s="30"/>
    </row>
    <row r="425">
      <c r="B425" s="29"/>
      <c r="C425" s="30"/>
    </row>
    <row r="426">
      <c r="B426" s="29"/>
      <c r="C426" s="30"/>
    </row>
    <row r="427">
      <c r="B427" s="29"/>
      <c r="C427" s="30"/>
    </row>
    <row r="428">
      <c r="B428" s="29"/>
      <c r="C428" s="30"/>
    </row>
    <row r="429">
      <c r="B429" s="29"/>
      <c r="C429" s="30"/>
    </row>
    <row r="430">
      <c r="B430" s="29"/>
      <c r="C430" s="30"/>
    </row>
    <row r="431">
      <c r="B431" s="29"/>
      <c r="C431" s="30"/>
    </row>
    <row r="432">
      <c r="B432" s="29"/>
      <c r="C432" s="30"/>
    </row>
    <row r="433">
      <c r="B433" s="29"/>
      <c r="C433" s="30"/>
    </row>
    <row r="434">
      <c r="B434" s="29"/>
      <c r="C434" s="30"/>
    </row>
    <row r="435">
      <c r="B435" s="29"/>
      <c r="C435" s="30"/>
    </row>
    <row r="436">
      <c r="B436" s="29"/>
      <c r="C436" s="30"/>
    </row>
    <row r="437">
      <c r="B437" s="29"/>
      <c r="C437" s="30"/>
    </row>
    <row r="438">
      <c r="B438" s="29"/>
      <c r="C438" s="30"/>
    </row>
    <row r="439">
      <c r="B439" s="29"/>
      <c r="C439" s="30"/>
    </row>
    <row r="440">
      <c r="B440" s="29"/>
      <c r="C440" s="30"/>
    </row>
    <row r="441">
      <c r="B441" s="29"/>
      <c r="C441" s="30"/>
    </row>
    <row r="442">
      <c r="B442" s="29"/>
      <c r="C442" s="30"/>
    </row>
    <row r="443">
      <c r="B443" s="29"/>
      <c r="C443" s="30"/>
    </row>
    <row r="444">
      <c r="B444" s="29"/>
      <c r="C444" s="30"/>
    </row>
    <row r="445">
      <c r="B445" s="29"/>
      <c r="C445" s="30"/>
    </row>
    <row r="446">
      <c r="B446" s="29"/>
      <c r="C446" s="30"/>
    </row>
    <row r="447">
      <c r="B447" s="29"/>
      <c r="C447" s="30"/>
    </row>
    <row r="448">
      <c r="B448" s="29"/>
      <c r="C448" s="30"/>
    </row>
    <row r="449">
      <c r="B449" s="29"/>
      <c r="C449" s="30"/>
    </row>
    <row r="450">
      <c r="B450" s="29"/>
      <c r="C450" s="30"/>
    </row>
    <row r="451">
      <c r="B451" s="29"/>
      <c r="C451" s="30"/>
    </row>
    <row r="452">
      <c r="B452" s="29"/>
      <c r="C452" s="30"/>
    </row>
    <row r="453">
      <c r="B453" s="29"/>
      <c r="C453" s="30"/>
    </row>
    <row r="454">
      <c r="B454" s="29"/>
      <c r="C454" s="30"/>
    </row>
    <row r="455">
      <c r="B455" s="29"/>
      <c r="C455" s="30"/>
    </row>
    <row r="456">
      <c r="B456" s="29"/>
      <c r="C456" s="30"/>
    </row>
    <row r="457">
      <c r="B457" s="29"/>
      <c r="C457" s="30"/>
    </row>
    <row r="458">
      <c r="B458" s="29"/>
      <c r="C458" s="30"/>
    </row>
    <row r="459">
      <c r="B459" s="29"/>
      <c r="C459" s="30"/>
    </row>
    <row r="460">
      <c r="B460" s="29"/>
      <c r="C460" s="30"/>
    </row>
    <row r="461">
      <c r="B461" s="29"/>
      <c r="C461" s="30"/>
    </row>
    <row r="462">
      <c r="B462" s="29"/>
      <c r="C462" s="30"/>
    </row>
    <row r="463">
      <c r="B463" s="29"/>
      <c r="C463" s="30"/>
    </row>
    <row r="464">
      <c r="B464" s="29"/>
      <c r="C464" s="30"/>
    </row>
    <row r="465">
      <c r="B465" s="29"/>
      <c r="C465" s="30"/>
    </row>
    <row r="466">
      <c r="B466" s="29"/>
      <c r="C466" s="30"/>
    </row>
    <row r="467">
      <c r="B467" s="29"/>
      <c r="C467" s="30"/>
    </row>
    <row r="468">
      <c r="B468" s="29"/>
      <c r="C468" s="30"/>
    </row>
    <row r="469">
      <c r="B469" s="29"/>
      <c r="C469" s="30"/>
    </row>
    <row r="470">
      <c r="B470" s="29"/>
      <c r="C470" s="30"/>
    </row>
    <row r="471">
      <c r="B471" s="29"/>
      <c r="C471" s="30"/>
    </row>
    <row r="472">
      <c r="B472" s="29"/>
      <c r="C472" s="30"/>
    </row>
    <row r="473">
      <c r="B473" s="29"/>
      <c r="C473" s="30"/>
    </row>
    <row r="474">
      <c r="B474" s="29"/>
      <c r="C474" s="30"/>
    </row>
    <row r="475">
      <c r="B475" s="29"/>
      <c r="C475" s="30"/>
    </row>
    <row r="476">
      <c r="B476" s="29"/>
      <c r="C476" s="30"/>
    </row>
    <row r="477">
      <c r="B477" s="29"/>
      <c r="C477" s="30"/>
    </row>
    <row r="478">
      <c r="B478" s="29"/>
      <c r="C478" s="30"/>
    </row>
    <row r="479">
      <c r="B479" s="29"/>
      <c r="C479" s="30"/>
    </row>
    <row r="480">
      <c r="B480" s="29"/>
      <c r="C480" s="30"/>
    </row>
    <row r="481">
      <c r="B481" s="29"/>
      <c r="C481" s="30"/>
    </row>
    <row r="482">
      <c r="B482" s="29"/>
      <c r="C482" s="30"/>
    </row>
    <row r="483">
      <c r="B483" s="29"/>
      <c r="C483" s="30"/>
    </row>
    <row r="484">
      <c r="B484" s="29"/>
      <c r="C484" s="30"/>
    </row>
    <row r="485">
      <c r="B485" s="29"/>
      <c r="C485" s="30"/>
    </row>
    <row r="486">
      <c r="B486" s="29"/>
      <c r="C486" s="30"/>
    </row>
    <row r="487">
      <c r="B487" s="29"/>
      <c r="C487" s="30"/>
    </row>
    <row r="488">
      <c r="B488" s="29"/>
      <c r="C488" s="30"/>
    </row>
    <row r="489">
      <c r="B489" s="29"/>
      <c r="C489" s="30"/>
    </row>
    <row r="490">
      <c r="B490" s="29"/>
      <c r="C490" s="30"/>
    </row>
    <row r="491">
      <c r="B491" s="29"/>
      <c r="C491" s="30"/>
    </row>
    <row r="492">
      <c r="B492" s="29"/>
      <c r="C492" s="30"/>
    </row>
    <row r="493">
      <c r="B493" s="29"/>
      <c r="C493" s="30"/>
    </row>
    <row r="494">
      <c r="B494" s="29"/>
      <c r="C494" s="30"/>
    </row>
    <row r="495">
      <c r="B495" s="29"/>
      <c r="C495" s="30"/>
    </row>
    <row r="496">
      <c r="B496" s="29"/>
      <c r="C496" s="30"/>
    </row>
    <row r="497">
      <c r="B497" s="29"/>
      <c r="C497" s="30"/>
    </row>
    <row r="498">
      <c r="B498" s="29"/>
      <c r="C498" s="30"/>
    </row>
    <row r="499">
      <c r="B499" s="29"/>
      <c r="C499" s="30"/>
    </row>
    <row r="500">
      <c r="B500" s="29"/>
      <c r="C500" s="30"/>
    </row>
    <row r="501">
      <c r="B501" s="29"/>
      <c r="C501" s="30"/>
    </row>
    <row r="502">
      <c r="B502" s="29"/>
      <c r="C502" s="30"/>
    </row>
    <row r="503">
      <c r="B503" s="29"/>
      <c r="C503" s="30"/>
    </row>
    <row r="504">
      <c r="B504" s="29"/>
      <c r="C504" s="30"/>
    </row>
    <row r="505">
      <c r="B505" s="29"/>
      <c r="C505" s="30"/>
    </row>
    <row r="506">
      <c r="B506" s="29"/>
      <c r="C506" s="30"/>
    </row>
    <row r="507">
      <c r="B507" s="29"/>
      <c r="C507" s="30"/>
    </row>
    <row r="508">
      <c r="B508" s="29"/>
      <c r="C508" s="30"/>
    </row>
    <row r="509">
      <c r="B509" s="29"/>
      <c r="C509" s="30"/>
    </row>
    <row r="510">
      <c r="B510" s="29"/>
      <c r="C510" s="30"/>
    </row>
    <row r="511">
      <c r="B511" s="29"/>
      <c r="C511" s="30"/>
    </row>
    <row r="512">
      <c r="B512" s="29"/>
      <c r="C512" s="30"/>
    </row>
    <row r="513">
      <c r="B513" s="29"/>
      <c r="C513" s="30"/>
    </row>
    <row r="514">
      <c r="B514" s="29"/>
      <c r="C514" s="30"/>
    </row>
    <row r="515">
      <c r="B515" s="29"/>
      <c r="C515" s="30"/>
    </row>
    <row r="516">
      <c r="B516" s="29"/>
      <c r="C516" s="30"/>
    </row>
    <row r="517">
      <c r="B517" s="29"/>
      <c r="C517" s="30"/>
    </row>
    <row r="518">
      <c r="B518" s="29"/>
      <c r="C518" s="30"/>
    </row>
    <row r="519">
      <c r="B519" s="29"/>
      <c r="C519" s="30"/>
    </row>
    <row r="520">
      <c r="B520" s="29"/>
      <c r="C520" s="30"/>
    </row>
    <row r="521">
      <c r="B521" s="29"/>
      <c r="C521" s="30"/>
    </row>
    <row r="522">
      <c r="B522" s="29"/>
      <c r="C522" s="30"/>
    </row>
    <row r="523">
      <c r="B523" s="29"/>
      <c r="C523" s="30"/>
    </row>
    <row r="524">
      <c r="B524" s="29"/>
      <c r="C524" s="30"/>
    </row>
    <row r="525">
      <c r="B525" s="29"/>
      <c r="C525" s="30"/>
    </row>
    <row r="526">
      <c r="B526" s="29"/>
      <c r="C526" s="30"/>
    </row>
    <row r="527">
      <c r="B527" s="29"/>
      <c r="C527" s="30"/>
    </row>
    <row r="528">
      <c r="B528" s="29"/>
      <c r="C528" s="30"/>
    </row>
    <row r="529">
      <c r="B529" s="29"/>
      <c r="C529" s="30"/>
    </row>
    <row r="530">
      <c r="B530" s="29"/>
      <c r="C530" s="30"/>
    </row>
    <row r="531">
      <c r="B531" s="29"/>
      <c r="C531" s="30"/>
    </row>
    <row r="532">
      <c r="B532" s="29"/>
      <c r="C532" s="30"/>
    </row>
    <row r="533">
      <c r="B533" s="29"/>
      <c r="C533" s="30"/>
    </row>
    <row r="534">
      <c r="B534" s="29"/>
      <c r="C534" s="30"/>
    </row>
    <row r="535">
      <c r="B535" s="29"/>
      <c r="C535" s="30"/>
    </row>
    <row r="536">
      <c r="B536" s="29"/>
      <c r="C536" s="30"/>
    </row>
    <row r="537">
      <c r="B537" s="29"/>
      <c r="C537" s="30"/>
    </row>
    <row r="538">
      <c r="B538" s="29"/>
      <c r="C538" s="30"/>
    </row>
    <row r="539">
      <c r="B539" s="29"/>
      <c r="C539" s="30"/>
    </row>
    <row r="540">
      <c r="B540" s="29"/>
      <c r="C540" s="30"/>
    </row>
    <row r="541">
      <c r="B541" s="29"/>
      <c r="C541" s="30"/>
    </row>
    <row r="542">
      <c r="B542" s="29"/>
      <c r="C542" s="30"/>
    </row>
    <row r="543">
      <c r="B543" s="29"/>
      <c r="C543" s="30"/>
    </row>
    <row r="544">
      <c r="B544" s="29"/>
      <c r="C544" s="30"/>
    </row>
    <row r="545">
      <c r="B545" s="29"/>
      <c r="C545" s="30"/>
    </row>
    <row r="546">
      <c r="B546" s="29"/>
      <c r="C546" s="30"/>
    </row>
    <row r="547">
      <c r="B547" s="29"/>
      <c r="C547" s="30"/>
    </row>
    <row r="548">
      <c r="B548" s="29"/>
      <c r="C548" s="30"/>
    </row>
    <row r="549">
      <c r="B549" s="29"/>
      <c r="C549" s="30"/>
    </row>
    <row r="550">
      <c r="B550" s="29"/>
      <c r="C550" s="30"/>
    </row>
    <row r="551">
      <c r="B551" s="29"/>
      <c r="C551" s="30"/>
    </row>
    <row r="552">
      <c r="B552" s="29"/>
      <c r="C552" s="30"/>
    </row>
    <row r="553">
      <c r="B553" s="29"/>
      <c r="C553" s="30"/>
    </row>
    <row r="554">
      <c r="B554" s="29"/>
      <c r="C554" s="30"/>
    </row>
    <row r="555">
      <c r="B555" s="29"/>
      <c r="C555" s="30"/>
    </row>
    <row r="556">
      <c r="B556" s="29"/>
      <c r="C556" s="30"/>
    </row>
    <row r="557">
      <c r="B557" s="29"/>
      <c r="C557" s="30"/>
    </row>
    <row r="558">
      <c r="B558" s="29"/>
      <c r="C558" s="30"/>
    </row>
    <row r="559">
      <c r="B559" s="29"/>
      <c r="C559" s="30"/>
    </row>
    <row r="560">
      <c r="B560" s="29"/>
      <c r="C560" s="30"/>
    </row>
    <row r="561">
      <c r="B561" s="29"/>
      <c r="C561" s="30"/>
    </row>
    <row r="562">
      <c r="B562" s="29"/>
      <c r="C562" s="30"/>
    </row>
    <row r="563">
      <c r="B563" s="29"/>
      <c r="C563" s="30"/>
    </row>
    <row r="564">
      <c r="B564" s="29"/>
      <c r="C564" s="30"/>
    </row>
    <row r="565">
      <c r="B565" s="29"/>
      <c r="C565" s="30"/>
    </row>
    <row r="566">
      <c r="B566" s="29"/>
      <c r="C566" s="30"/>
    </row>
    <row r="567">
      <c r="B567" s="29"/>
      <c r="C567" s="30"/>
    </row>
    <row r="568">
      <c r="B568" s="29"/>
      <c r="C568" s="30"/>
    </row>
    <row r="569">
      <c r="B569" s="29"/>
      <c r="C569" s="30"/>
    </row>
    <row r="570">
      <c r="B570" s="29"/>
      <c r="C570" s="30"/>
    </row>
    <row r="571">
      <c r="B571" s="29"/>
      <c r="C571" s="30"/>
    </row>
    <row r="572">
      <c r="B572" s="29"/>
      <c r="C572" s="30"/>
    </row>
    <row r="573">
      <c r="B573" s="29"/>
      <c r="C573" s="30"/>
    </row>
    <row r="574">
      <c r="B574" s="29"/>
      <c r="C574" s="30"/>
    </row>
    <row r="575">
      <c r="B575" s="29"/>
      <c r="C575" s="30"/>
    </row>
    <row r="576">
      <c r="B576" s="29"/>
      <c r="C576" s="30"/>
    </row>
    <row r="577">
      <c r="B577" s="29"/>
      <c r="C577" s="30"/>
    </row>
    <row r="578">
      <c r="B578" s="29"/>
      <c r="C578" s="30"/>
    </row>
    <row r="579">
      <c r="B579" s="29"/>
      <c r="C579" s="30"/>
    </row>
    <row r="580">
      <c r="B580" s="29"/>
      <c r="C580" s="30"/>
    </row>
    <row r="581">
      <c r="B581" s="29"/>
      <c r="C581" s="30"/>
    </row>
    <row r="582">
      <c r="B582" s="29"/>
      <c r="C582" s="30"/>
    </row>
    <row r="583">
      <c r="B583" s="29"/>
      <c r="C583" s="30"/>
    </row>
    <row r="584">
      <c r="B584" s="29"/>
      <c r="C584" s="30"/>
    </row>
    <row r="585">
      <c r="B585" s="29"/>
      <c r="C585" s="30"/>
    </row>
    <row r="586">
      <c r="B586" s="29"/>
      <c r="C586" s="30"/>
    </row>
    <row r="587">
      <c r="B587" s="29"/>
      <c r="C587" s="30"/>
    </row>
    <row r="588">
      <c r="B588" s="29"/>
      <c r="C588" s="30"/>
    </row>
    <row r="589">
      <c r="B589" s="29"/>
      <c r="C589" s="30"/>
    </row>
    <row r="590">
      <c r="B590" s="29"/>
      <c r="C590" s="30"/>
    </row>
    <row r="591">
      <c r="B591" s="29"/>
      <c r="C591" s="30"/>
    </row>
    <row r="592">
      <c r="B592" s="29"/>
      <c r="C592" s="30"/>
    </row>
    <row r="593">
      <c r="B593" s="29"/>
      <c r="C593" s="30"/>
    </row>
    <row r="594">
      <c r="B594" s="29"/>
      <c r="C594" s="30"/>
    </row>
    <row r="595">
      <c r="B595" s="29"/>
      <c r="C595" s="30"/>
    </row>
    <row r="596">
      <c r="B596" s="29"/>
      <c r="C596" s="30"/>
    </row>
    <row r="597">
      <c r="B597" s="29"/>
      <c r="C597" s="30"/>
    </row>
    <row r="598">
      <c r="B598" s="29"/>
      <c r="C598" s="30"/>
    </row>
    <row r="599">
      <c r="B599" s="29"/>
      <c r="C599" s="30"/>
    </row>
    <row r="600">
      <c r="B600" s="29"/>
      <c r="C600" s="30"/>
    </row>
    <row r="601">
      <c r="B601" s="29"/>
      <c r="C601" s="30"/>
    </row>
    <row r="602">
      <c r="B602" s="29"/>
      <c r="C602" s="30"/>
    </row>
    <row r="603">
      <c r="B603" s="29"/>
      <c r="C603" s="30"/>
    </row>
    <row r="604">
      <c r="B604" s="29"/>
      <c r="C604" s="30"/>
    </row>
    <row r="605">
      <c r="B605" s="29"/>
      <c r="C605" s="30"/>
    </row>
    <row r="606">
      <c r="B606" s="29"/>
      <c r="C606" s="30"/>
    </row>
    <row r="607">
      <c r="B607" s="29"/>
      <c r="C607" s="30"/>
    </row>
    <row r="608">
      <c r="B608" s="29"/>
      <c r="C608" s="30"/>
    </row>
    <row r="609">
      <c r="B609" s="29"/>
      <c r="C609" s="30"/>
    </row>
    <row r="610">
      <c r="B610" s="29"/>
      <c r="C610" s="30"/>
    </row>
    <row r="611">
      <c r="B611" s="29"/>
      <c r="C611" s="30"/>
    </row>
    <row r="612">
      <c r="B612" s="29"/>
      <c r="C612" s="30"/>
    </row>
    <row r="613">
      <c r="B613" s="29"/>
      <c r="C613" s="30"/>
    </row>
    <row r="614">
      <c r="B614" s="29"/>
      <c r="C614" s="30"/>
    </row>
    <row r="615">
      <c r="B615" s="29"/>
      <c r="C615" s="30"/>
    </row>
    <row r="616">
      <c r="B616" s="29"/>
      <c r="C616" s="30"/>
    </row>
    <row r="617">
      <c r="B617" s="29"/>
      <c r="C617" s="30"/>
    </row>
    <row r="618">
      <c r="B618" s="29"/>
      <c r="C618" s="30"/>
    </row>
    <row r="619">
      <c r="B619" s="29"/>
      <c r="C619" s="30"/>
    </row>
    <row r="620">
      <c r="B620" s="29"/>
      <c r="C620" s="30"/>
    </row>
    <row r="621">
      <c r="B621" s="29"/>
      <c r="C621" s="30"/>
    </row>
    <row r="622">
      <c r="B622" s="29"/>
      <c r="C622" s="30"/>
    </row>
    <row r="623">
      <c r="B623" s="29"/>
      <c r="C623" s="30"/>
    </row>
    <row r="624">
      <c r="B624" s="29"/>
      <c r="C624" s="30"/>
    </row>
    <row r="625">
      <c r="B625" s="29"/>
      <c r="C625" s="30"/>
    </row>
    <row r="626">
      <c r="B626" s="29"/>
      <c r="C626" s="30"/>
    </row>
    <row r="627">
      <c r="B627" s="29"/>
      <c r="C627" s="30"/>
    </row>
    <row r="628">
      <c r="B628" s="29"/>
      <c r="C628" s="30"/>
    </row>
    <row r="629">
      <c r="B629" s="29"/>
      <c r="C629" s="30"/>
    </row>
    <row r="630">
      <c r="B630" s="29"/>
      <c r="C630" s="30"/>
    </row>
    <row r="631">
      <c r="B631" s="29"/>
      <c r="C631" s="30"/>
    </row>
    <row r="632">
      <c r="B632" s="29"/>
      <c r="C632" s="30"/>
    </row>
    <row r="633">
      <c r="B633" s="29"/>
      <c r="C633" s="30"/>
    </row>
    <row r="634">
      <c r="B634" s="29"/>
      <c r="C634" s="30"/>
    </row>
    <row r="635">
      <c r="B635" s="29"/>
      <c r="C635" s="30"/>
    </row>
    <row r="636">
      <c r="B636" s="29"/>
      <c r="C636" s="30"/>
    </row>
    <row r="637">
      <c r="B637" s="29"/>
      <c r="C637" s="30"/>
    </row>
    <row r="638">
      <c r="B638" s="29"/>
      <c r="C638" s="30"/>
    </row>
    <row r="639">
      <c r="B639" s="29"/>
      <c r="C639" s="30"/>
    </row>
    <row r="640">
      <c r="B640" s="29"/>
      <c r="C640" s="30"/>
    </row>
    <row r="641">
      <c r="B641" s="29"/>
      <c r="C641" s="30"/>
    </row>
    <row r="642">
      <c r="B642" s="29"/>
      <c r="C642" s="30"/>
    </row>
    <row r="643">
      <c r="B643" s="29"/>
      <c r="C643" s="30"/>
    </row>
    <row r="644">
      <c r="B644" s="29"/>
      <c r="C644" s="30"/>
    </row>
    <row r="645">
      <c r="B645" s="29"/>
      <c r="C645" s="30"/>
    </row>
    <row r="646">
      <c r="B646" s="29"/>
      <c r="C646" s="30"/>
    </row>
    <row r="647">
      <c r="B647" s="29"/>
      <c r="C647" s="30"/>
    </row>
    <row r="648">
      <c r="B648" s="29"/>
      <c r="C648" s="30"/>
    </row>
    <row r="649">
      <c r="B649" s="29"/>
      <c r="C649" s="30"/>
    </row>
    <row r="650">
      <c r="B650" s="29"/>
      <c r="C650" s="30"/>
    </row>
    <row r="651">
      <c r="B651" s="29"/>
      <c r="C651" s="30"/>
    </row>
    <row r="652">
      <c r="B652" s="29"/>
      <c r="C652" s="30"/>
    </row>
    <row r="653">
      <c r="B653" s="29"/>
      <c r="C653" s="30"/>
    </row>
    <row r="654">
      <c r="B654" s="29"/>
      <c r="C654" s="30"/>
    </row>
    <row r="655">
      <c r="B655" s="29"/>
      <c r="C655" s="30"/>
    </row>
    <row r="656">
      <c r="B656" s="29"/>
      <c r="C656" s="30"/>
    </row>
    <row r="657">
      <c r="B657" s="29"/>
      <c r="C657" s="30"/>
    </row>
    <row r="658">
      <c r="B658" s="29"/>
      <c r="C658" s="30"/>
    </row>
    <row r="659">
      <c r="B659" s="29"/>
      <c r="C659" s="30"/>
    </row>
    <row r="660">
      <c r="B660" s="29"/>
      <c r="C660" s="30"/>
    </row>
    <row r="661">
      <c r="B661" s="29"/>
      <c r="C661" s="30"/>
    </row>
    <row r="662">
      <c r="B662" s="29"/>
      <c r="C662" s="30"/>
    </row>
    <row r="663">
      <c r="B663" s="29"/>
      <c r="C663" s="30"/>
    </row>
    <row r="664">
      <c r="B664" s="29"/>
      <c r="C664" s="30"/>
    </row>
    <row r="665">
      <c r="B665" s="29"/>
      <c r="C665" s="30"/>
    </row>
    <row r="666">
      <c r="B666" s="29"/>
      <c r="C666" s="30"/>
    </row>
    <row r="667">
      <c r="B667" s="29"/>
      <c r="C667" s="30"/>
    </row>
    <row r="668">
      <c r="B668" s="29"/>
      <c r="C668" s="30"/>
    </row>
    <row r="669">
      <c r="B669" s="29"/>
      <c r="C669" s="30"/>
    </row>
    <row r="670">
      <c r="B670" s="29"/>
      <c r="C670" s="30"/>
    </row>
    <row r="671">
      <c r="B671" s="29"/>
      <c r="C671" s="30"/>
    </row>
    <row r="672">
      <c r="B672" s="29"/>
      <c r="C672" s="30"/>
    </row>
    <row r="673">
      <c r="B673" s="29"/>
      <c r="C673" s="30"/>
    </row>
    <row r="674">
      <c r="B674" s="29"/>
      <c r="C674" s="30"/>
    </row>
    <row r="675">
      <c r="B675" s="29"/>
      <c r="C675" s="30"/>
    </row>
    <row r="676">
      <c r="B676" s="29"/>
      <c r="C676" s="30"/>
    </row>
    <row r="677">
      <c r="B677" s="29"/>
      <c r="C677" s="30"/>
    </row>
    <row r="678">
      <c r="B678" s="29"/>
      <c r="C678" s="30"/>
    </row>
    <row r="679">
      <c r="B679" s="29"/>
      <c r="C679" s="30"/>
    </row>
    <row r="680">
      <c r="B680" s="29"/>
      <c r="C680" s="30"/>
    </row>
    <row r="681">
      <c r="B681" s="29"/>
      <c r="C681" s="30"/>
    </row>
    <row r="682">
      <c r="B682" s="29"/>
      <c r="C682" s="30"/>
    </row>
    <row r="683">
      <c r="B683" s="29"/>
      <c r="C683" s="30"/>
    </row>
    <row r="684">
      <c r="B684" s="29"/>
      <c r="C684" s="30"/>
    </row>
    <row r="685">
      <c r="B685" s="29"/>
      <c r="C685" s="30"/>
    </row>
    <row r="686">
      <c r="B686" s="29"/>
      <c r="C686" s="30"/>
    </row>
    <row r="687">
      <c r="B687" s="29"/>
      <c r="C687" s="30"/>
    </row>
    <row r="688">
      <c r="B688" s="29"/>
      <c r="C688" s="30"/>
    </row>
    <row r="689">
      <c r="B689" s="29"/>
      <c r="C689" s="30"/>
    </row>
    <row r="690">
      <c r="B690" s="29"/>
      <c r="C690" s="30"/>
    </row>
    <row r="691">
      <c r="B691" s="29"/>
      <c r="C691" s="30"/>
    </row>
    <row r="692">
      <c r="B692" s="29"/>
      <c r="C692" s="30"/>
    </row>
    <row r="693">
      <c r="B693" s="29"/>
      <c r="C693" s="30"/>
    </row>
    <row r="694">
      <c r="B694" s="29"/>
      <c r="C694" s="30"/>
    </row>
    <row r="695">
      <c r="B695" s="29"/>
      <c r="C695" s="30"/>
    </row>
    <row r="696">
      <c r="B696" s="29"/>
      <c r="C696" s="30"/>
    </row>
    <row r="697">
      <c r="B697" s="29"/>
      <c r="C697" s="30"/>
    </row>
    <row r="698">
      <c r="B698" s="29"/>
      <c r="C698" s="30"/>
    </row>
    <row r="699">
      <c r="B699" s="29"/>
      <c r="C699" s="30"/>
    </row>
    <row r="700">
      <c r="B700" s="29"/>
      <c r="C700" s="30"/>
    </row>
    <row r="701">
      <c r="B701" s="29"/>
      <c r="C701" s="30"/>
    </row>
    <row r="702">
      <c r="B702" s="29"/>
      <c r="C702" s="30"/>
    </row>
    <row r="703">
      <c r="B703" s="29"/>
      <c r="C703" s="30"/>
    </row>
    <row r="704">
      <c r="B704" s="29"/>
      <c r="C704" s="30"/>
    </row>
    <row r="705">
      <c r="B705" s="29"/>
      <c r="C705" s="30"/>
    </row>
    <row r="706">
      <c r="B706" s="29"/>
      <c r="C706" s="30"/>
    </row>
    <row r="707">
      <c r="B707" s="29"/>
      <c r="C707" s="30"/>
    </row>
    <row r="708">
      <c r="B708" s="29"/>
      <c r="C708" s="30"/>
    </row>
    <row r="709">
      <c r="B709" s="29"/>
      <c r="C709" s="30"/>
    </row>
    <row r="710">
      <c r="B710" s="29"/>
      <c r="C710" s="30"/>
    </row>
    <row r="711">
      <c r="B711" s="29"/>
      <c r="C711" s="30"/>
    </row>
    <row r="712">
      <c r="B712" s="29"/>
      <c r="C712" s="30"/>
    </row>
    <row r="713">
      <c r="B713" s="29"/>
      <c r="C713" s="30"/>
    </row>
    <row r="714">
      <c r="B714" s="29"/>
      <c r="C714" s="30"/>
    </row>
    <row r="715">
      <c r="B715" s="29"/>
      <c r="C715" s="30"/>
    </row>
    <row r="716">
      <c r="B716" s="29"/>
      <c r="C716" s="30"/>
    </row>
    <row r="717">
      <c r="B717" s="29"/>
      <c r="C717" s="30"/>
    </row>
    <row r="718">
      <c r="B718" s="29"/>
      <c r="C718" s="30"/>
    </row>
    <row r="719">
      <c r="B719" s="29"/>
      <c r="C719" s="30"/>
    </row>
    <row r="720">
      <c r="B720" s="29"/>
      <c r="C720" s="30"/>
    </row>
    <row r="721">
      <c r="B721" s="29"/>
      <c r="C721" s="30"/>
    </row>
    <row r="722">
      <c r="B722" s="29"/>
      <c r="C722" s="30"/>
    </row>
    <row r="723">
      <c r="B723" s="29"/>
      <c r="C723" s="30"/>
    </row>
    <row r="724">
      <c r="B724" s="29"/>
      <c r="C724" s="30"/>
    </row>
    <row r="725">
      <c r="B725" s="29"/>
      <c r="C725" s="30"/>
    </row>
    <row r="726">
      <c r="B726" s="29"/>
      <c r="C726" s="30"/>
    </row>
    <row r="727">
      <c r="B727" s="29"/>
      <c r="C727" s="30"/>
    </row>
    <row r="728">
      <c r="B728" s="29"/>
      <c r="C728" s="30"/>
    </row>
    <row r="729">
      <c r="B729" s="29"/>
      <c r="C729" s="30"/>
    </row>
    <row r="730">
      <c r="B730" s="29"/>
      <c r="C730" s="30"/>
    </row>
    <row r="731">
      <c r="B731" s="29"/>
      <c r="C731" s="30"/>
    </row>
    <row r="732">
      <c r="B732" s="29"/>
      <c r="C732" s="30"/>
    </row>
    <row r="733">
      <c r="B733" s="29"/>
      <c r="C733" s="30"/>
    </row>
    <row r="734">
      <c r="B734" s="29"/>
      <c r="C734" s="30"/>
    </row>
    <row r="735">
      <c r="B735" s="29"/>
      <c r="C735" s="30"/>
    </row>
    <row r="736">
      <c r="B736" s="29"/>
      <c r="C736" s="30"/>
    </row>
    <row r="737">
      <c r="B737" s="29"/>
      <c r="C737" s="30"/>
    </row>
    <row r="738">
      <c r="B738" s="29"/>
      <c r="C738" s="30"/>
    </row>
    <row r="739">
      <c r="B739" s="29"/>
      <c r="C739" s="30"/>
    </row>
    <row r="740">
      <c r="B740" s="29"/>
      <c r="C740" s="30"/>
    </row>
    <row r="741">
      <c r="B741" s="29"/>
      <c r="C741" s="30"/>
    </row>
    <row r="742">
      <c r="B742" s="29"/>
      <c r="C742" s="30"/>
    </row>
    <row r="743">
      <c r="B743" s="29"/>
      <c r="C743" s="30"/>
    </row>
    <row r="744">
      <c r="B744" s="29"/>
      <c r="C744" s="30"/>
    </row>
    <row r="745">
      <c r="B745" s="29"/>
      <c r="C745" s="30"/>
    </row>
    <row r="746">
      <c r="B746" s="29"/>
      <c r="C746" s="30"/>
    </row>
    <row r="747">
      <c r="B747" s="29"/>
      <c r="C747" s="30"/>
    </row>
    <row r="748">
      <c r="B748" s="29"/>
      <c r="C748" s="30"/>
    </row>
    <row r="749">
      <c r="B749" s="29"/>
      <c r="C749" s="30"/>
    </row>
    <row r="750">
      <c r="B750" s="29"/>
      <c r="C750" s="30"/>
    </row>
    <row r="751">
      <c r="B751" s="29"/>
      <c r="C751" s="30"/>
    </row>
    <row r="752">
      <c r="B752" s="29"/>
      <c r="C752" s="30"/>
    </row>
    <row r="753">
      <c r="B753" s="29"/>
      <c r="C753" s="30"/>
    </row>
    <row r="754">
      <c r="B754" s="29"/>
      <c r="C754" s="30"/>
    </row>
    <row r="755">
      <c r="B755" s="29"/>
      <c r="C755" s="30"/>
    </row>
    <row r="756">
      <c r="B756" s="29"/>
      <c r="C756" s="30"/>
    </row>
    <row r="757">
      <c r="B757" s="29"/>
      <c r="C757" s="30"/>
    </row>
    <row r="758">
      <c r="B758" s="29"/>
      <c r="C758" s="30"/>
    </row>
    <row r="759">
      <c r="B759" s="29"/>
      <c r="C759" s="30"/>
    </row>
    <row r="760">
      <c r="B760" s="29"/>
      <c r="C760" s="30"/>
    </row>
    <row r="761">
      <c r="B761" s="29"/>
      <c r="C761" s="30"/>
    </row>
    <row r="762">
      <c r="B762" s="29"/>
      <c r="C762" s="30"/>
    </row>
    <row r="763">
      <c r="B763" s="29"/>
      <c r="C763" s="30"/>
    </row>
    <row r="764">
      <c r="B764" s="29"/>
      <c r="C764" s="30"/>
    </row>
    <row r="765">
      <c r="B765" s="29"/>
      <c r="C765" s="30"/>
    </row>
    <row r="766">
      <c r="B766" s="29"/>
      <c r="C766" s="30"/>
    </row>
    <row r="767">
      <c r="B767" s="29"/>
      <c r="C767" s="30"/>
    </row>
    <row r="768">
      <c r="B768" s="29"/>
      <c r="C768" s="30"/>
    </row>
    <row r="769">
      <c r="B769" s="29"/>
      <c r="C769" s="30"/>
    </row>
    <row r="770">
      <c r="B770" s="29"/>
      <c r="C770" s="30"/>
    </row>
    <row r="771">
      <c r="B771" s="29"/>
      <c r="C771" s="30"/>
    </row>
    <row r="772">
      <c r="B772" s="29"/>
      <c r="C772" s="30"/>
    </row>
    <row r="773">
      <c r="B773" s="29"/>
      <c r="C773" s="30"/>
    </row>
    <row r="774">
      <c r="B774" s="29"/>
      <c r="C774" s="30"/>
    </row>
    <row r="775">
      <c r="B775" s="29"/>
      <c r="C775" s="30"/>
    </row>
    <row r="776">
      <c r="B776" s="29"/>
      <c r="C776" s="30"/>
    </row>
    <row r="777">
      <c r="B777" s="29"/>
      <c r="C777" s="30"/>
    </row>
    <row r="778">
      <c r="B778" s="29"/>
      <c r="C778" s="30"/>
    </row>
    <row r="779">
      <c r="B779" s="29"/>
      <c r="C779" s="30"/>
    </row>
    <row r="780">
      <c r="B780" s="29"/>
      <c r="C780" s="30"/>
    </row>
    <row r="781">
      <c r="B781" s="29"/>
      <c r="C781" s="30"/>
    </row>
    <row r="782">
      <c r="B782" s="29"/>
      <c r="C782" s="30"/>
    </row>
    <row r="783">
      <c r="B783" s="29"/>
      <c r="C783" s="30"/>
    </row>
    <row r="784">
      <c r="B784" s="29"/>
      <c r="C784" s="30"/>
    </row>
    <row r="785">
      <c r="B785" s="29"/>
      <c r="C785" s="30"/>
    </row>
    <row r="786">
      <c r="B786" s="29"/>
      <c r="C786" s="30"/>
    </row>
    <row r="787">
      <c r="B787" s="29"/>
      <c r="C787" s="30"/>
    </row>
    <row r="788">
      <c r="B788" s="29"/>
      <c r="C788" s="30"/>
    </row>
    <row r="789">
      <c r="B789" s="29"/>
      <c r="C789" s="30"/>
    </row>
    <row r="790">
      <c r="B790" s="29"/>
      <c r="C790" s="30"/>
    </row>
    <row r="791">
      <c r="B791" s="29"/>
      <c r="C791" s="30"/>
    </row>
    <row r="792">
      <c r="B792" s="29"/>
      <c r="C792" s="30"/>
    </row>
    <row r="793">
      <c r="B793" s="29"/>
      <c r="C793" s="30"/>
    </row>
    <row r="794">
      <c r="B794" s="29"/>
      <c r="C794" s="30"/>
    </row>
    <row r="795">
      <c r="B795" s="29"/>
      <c r="C795" s="30"/>
    </row>
    <row r="796">
      <c r="B796" s="29"/>
      <c r="C796" s="30"/>
    </row>
    <row r="797">
      <c r="B797" s="29"/>
      <c r="C797" s="30"/>
    </row>
    <row r="798">
      <c r="B798" s="29"/>
      <c r="C798" s="30"/>
    </row>
    <row r="799">
      <c r="B799" s="29"/>
      <c r="C799" s="30"/>
    </row>
    <row r="800">
      <c r="B800" s="29"/>
      <c r="C800" s="30"/>
    </row>
    <row r="801">
      <c r="B801" s="29"/>
      <c r="C801" s="30"/>
    </row>
    <row r="802">
      <c r="B802" s="29"/>
      <c r="C802" s="30"/>
    </row>
    <row r="803">
      <c r="B803" s="29"/>
      <c r="C803" s="30"/>
    </row>
    <row r="804">
      <c r="B804" s="29"/>
      <c r="C804" s="30"/>
    </row>
    <row r="805">
      <c r="B805" s="29"/>
      <c r="C805" s="30"/>
    </row>
    <row r="806">
      <c r="B806" s="29"/>
      <c r="C806" s="30"/>
    </row>
    <row r="807">
      <c r="B807" s="29"/>
      <c r="C807" s="30"/>
    </row>
    <row r="808">
      <c r="B808" s="29"/>
      <c r="C808" s="30"/>
    </row>
    <row r="809">
      <c r="B809" s="29"/>
      <c r="C809" s="30"/>
    </row>
    <row r="810">
      <c r="B810" s="29"/>
      <c r="C810" s="30"/>
    </row>
    <row r="811">
      <c r="B811" s="29"/>
      <c r="C811" s="30"/>
    </row>
    <row r="812">
      <c r="B812" s="29"/>
      <c r="C812" s="30"/>
    </row>
    <row r="813">
      <c r="B813" s="29"/>
      <c r="C813" s="30"/>
    </row>
    <row r="814">
      <c r="B814" s="29"/>
      <c r="C814" s="30"/>
    </row>
    <row r="815">
      <c r="B815" s="29"/>
      <c r="C815" s="30"/>
    </row>
    <row r="816">
      <c r="B816" s="29"/>
      <c r="C816" s="30"/>
    </row>
    <row r="817">
      <c r="B817" s="29"/>
      <c r="C817" s="30"/>
    </row>
    <row r="818">
      <c r="B818" s="29"/>
      <c r="C818" s="30"/>
    </row>
    <row r="819">
      <c r="B819" s="29"/>
      <c r="C819" s="30"/>
    </row>
    <row r="820">
      <c r="B820" s="29"/>
      <c r="C820" s="30"/>
    </row>
    <row r="821">
      <c r="B821" s="29"/>
      <c r="C821" s="30"/>
    </row>
    <row r="822">
      <c r="B822" s="29"/>
      <c r="C822" s="30"/>
    </row>
    <row r="823">
      <c r="B823" s="29"/>
      <c r="C823" s="30"/>
    </row>
    <row r="824">
      <c r="B824" s="29"/>
      <c r="C824" s="30"/>
    </row>
    <row r="825">
      <c r="B825" s="29"/>
      <c r="C825" s="30"/>
    </row>
    <row r="826">
      <c r="B826" s="29"/>
      <c r="C826" s="30"/>
    </row>
    <row r="827">
      <c r="B827" s="29"/>
      <c r="C827" s="30"/>
    </row>
    <row r="828">
      <c r="B828" s="29"/>
      <c r="C828" s="30"/>
    </row>
    <row r="829">
      <c r="B829" s="29"/>
      <c r="C829" s="30"/>
    </row>
    <row r="830">
      <c r="B830" s="29"/>
      <c r="C830" s="30"/>
    </row>
    <row r="831">
      <c r="B831" s="29"/>
      <c r="C831" s="30"/>
    </row>
    <row r="832">
      <c r="B832" s="29"/>
      <c r="C832" s="30"/>
    </row>
    <row r="833">
      <c r="B833" s="29"/>
      <c r="C833" s="30"/>
    </row>
    <row r="834">
      <c r="B834" s="29"/>
      <c r="C834" s="30"/>
    </row>
    <row r="835">
      <c r="B835" s="29"/>
      <c r="C835" s="30"/>
    </row>
    <row r="836">
      <c r="B836" s="29"/>
      <c r="C836" s="30"/>
    </row>
    <row r="837">
      <c r="B837" s="29"/>
      <c r="C837" s="30"/>
    </row>
    <row r="838">
      <c r="B838" s="29"/>
      <c r="C838" s="30"/>
    </row>
    <row r="839">
      <c r="B839" s="29"/>
      <c r="C839" s="30"/>
    </row>
    <row r="840">
      <c r="B840" s="29"/>
      <c r="C840" s="30"/>
    </row>
    <row r="841">
      <c r="B841" s="29"/>
      <c r="C841" s="30"/>
    </row>
    <row r="842">
      <c r="B842" s="29"/>
      <c r="C842" s="30"/>
    </row>
    <row r="843">
      <c r="B843" s="29"/>
      <c r="C843" s="30"/>
    </row>
    <row r="844">
      <c r="B844" s="29"/>
      <c r="C844" s="30"/>
    </row>
    <row r="845">
      <c r="B845" s="29"/>
      <c r="C845" s="30"/>
    </row>
    <row r="846">
      <c r="B846" s="29"/>
      <c r="C846" s="30"/>
    </row>
    <row r="847">
      <c r="B847" s="29"/>
      <c r="C847" s="30"/>
    </row>
    <row r="848">
      <c r="B848" s="29"/>
      <c r="C848" s="30"/>
    </row>
    <row r="849">
      <c r="B849" s="29"/>
      <c r="C849" s="30"/>
    </row>
    <row r="850">
      <c r="B850" s="29"/>
      <c r="C850" s="30"/>
    </row>
    <row r="851">
      <c r="B851" s="29"/>
      <c r="C851" s="30"/>
    </row>
    <row r="852">
      <c r="B852" s="29"/>
      <c r="C852" s="30"/>
    </row>
    <row r="853">
      <c r="B853" s="29"/>
      <c r="C853" s="30"/>
    </row>
    <row r="854">
      <c r="B854" s="29"/>
      <c r="C854" s="30"/>
    </row>
    <row r="855">
      <c r="B855" s="29"/>
      <c r="C855" s="30"/>
    </row>
    <row r="856">
      <c r="B856" s="29"/>
      <c r="C856" s="30"/>
    </row>
    <row r="857">
      <c r="B857" s="29"/>
      <c r="C857" s="30"/>
    </row>
    <row r="858">
      <c r="B858" s="29"/>
      <c r="C858" s="30"/>
    </row>
    <row r="859">
      <c r="B859" s="29"/>
      <c r="C859" s="30"/>
    </row>
    <row r="860">
      <c r="B860" s="29"/>
      <c r="C860" s="30"/>
    </row>
    <row r="861">
      <c r="B861" s="29"/>
      <c r="C861" s="30"/>
    </row>
    <row r="862">
      <c r="B862" s="29"/>
      <c r="C862" s="30"/>
    </row>
    <row r="863">
      <c r="B863" s="29"/>
      <c r="C863" s="30"/>
    </row>
    <row r="864">
      <c r="B864" s="29"/>
      <c r="C864" s="30"/>
    </row>
    <row r="865">
      <c r="B865" s="29"/>
      <c r="C865" s="30"/>
    </row>
    <row r="866">
      <c r="B866" s="29"/>
      <c r="C866" s="30"/>
    </row>
    <row r="867">
      <c r="B867" s="29"/>
      <c r="C867" s="30"/>
    </row>
    <row r="868">
      <c r="B868" s="29"/>
      <c r="C868" s="30"/>
    </row>
    <row r="869">
      <c r="B869" s="29"/>
      <c r="C869" s="30"/>
    </row>
    <row r="870">
      <c r="B870" s="29"/>
      <c r="C870" s="30"/>
    </row>
    <row r="871">
      <c r="B871" s="29"/>
      <c r="C871" s="30"/>
    </row>
    <row r="872">
      <c r="B872" s="29"/>
      <c r="C872" s="30"/>
    </row>
    <row r="873">
      <c r="B873" s="29"/>
      <c r="C873" s="30"/>
    </row>
    <row r="874">
      <c r="B874" s="29"/>
      <c r="C874" s="30"/>
    </row>
    <row r="875">
      <c r="B875" s="29"/>
      <c r="C875" s="30"/>
    </row>
    <row r="876">
      <c r="B876" s="29"/>
      <c r="C876" s="30"/>
    </row>
    <row r="877">
      <c r="B877" s="29"/>
      <c r="C877" s="30"/>
    </row>
    <row r="878">
      <c r="B878" s="29"/>
      <c r="C878" s="30"/>
    </row>
    <row r="879">
      <c r="B879" s="29"/>
      <c r="C879" s="30"/>
    </row>
    <row r="880">
      <c r="B880" s="29"/>
      <c r="C880" s="30"/>
    </row>
    <row r="881">
      <c r="B881" s="29"/>
      <c r="C881" s="30"/>
    </row>
    <row r="882">
      <c r="B882" s="29"/>
      <c r="C882" s="30"/>
    </row>
    <row r="883">
      <c r="B883" s="29"/>
      <c r="C883" s="30"/>
    </row>
    <row r="884">
      <c r="B884" s="29"/>
      <c r="C884" s="30"/>
    </row>
    <row r="885">
      <c r="B885" s="29"/>
      <c r="C885" s="30"/>
    </row>
    <row r="886">
      <c r="B886" s="29"/>
      <c r="C886" s="30"/>
    </row>
    <row r="887">
      <c r="B887" s="29"/>
      <c r="C887" s="30"/>
    </row>
    <row r="888">
      <c r="B888" s="29"/>
      <c r="C888" s="30"/>
    </row>
    <row r="889">
      <c r="B889" s="29"/>
      <c r="C889" s="30"/>
    </row>
    <row r="890">
      <c r="B890" s="29"/>
      <c r="C890" s="30"/>
    </row>
    <row r="891">
      <c r="B891" s="29"/>
      <c r="C891" s="30"/>
    </row>
    <row r="892">
      <c r="B892" s="29"/>
      <c r="C892" s="30"/>
    </row>
    <row r="893">
      <c r="B893" s="29"/>
      <c r="C893" s="30"/>
    </row>
    <row r="894">
      <c r="B894" s="29"/>
      <c r="C894" s="30"/>
    </row>
    <row r="895">
      <c r="B895" s="29"/>
      <c r="C895" s="30"/>
    </row>
    <row r="896">
      <c r="B896" s="29"/>
      <c r="C896" s="30"/>
    </row>
    <row r="897">
      <c r="B897" s="29"/>
      <c r="C897" s="30"/>
    </row>
    <row r="898">
      <c r="B898" s="29"/>
      <c r="C898" s="30"/>
    </row>
    <row r="899">
      <c r="B899" s="29"/>
      <c r="C899" s="30"/>
    </row>
    <row r="900">
      <c r="B900" s="29"/>
      <c r="C900" s="30"/>
    </row>
    <row r="901">
      <c r="B901" s="29"/>
      <c r="C901" s="30"/>
    </row>
    <row r="902">
      <c r="B902" s="29"/>
      <c r="C902" s="30"/>
    </row>
    <row r="903">
      <c r="B903" s="29"/>
      <c r="C903" s="30"/>
    </row>
    <row r="904">
      <c r="B904" s="29"/>
      <c r="C904" s="30"/>
    </row>
    <row r="905">
      <c r="B905" s="29"/>
      <c r="C905" s="30"/>
    </row>
    <row r="906">
      <c r="B906" s="29"/>
      <c r="C906" s="30"/>
    </row>
    <row r="907">
      <c r="B907" s="29"/>
      <c r="C907" s="30"/>
    </row>
    <row r="908">
      <c r="B908" s="29"/>
      <c r="C908" s="30"/>
    </row>
    <row r="909">
      <c r="B909" s="29"/>
      <c r="C909" s="30"/>
    </row>
    <row r="910">
      <c r="B910" s="29"/>
      <c r="C910" s="30"/>
    </row>
    <row r="911">
      <c r="B911" s="29"/>
      <c r="C911" s="30"/>
    </row>
    <row r="912">
      <c r="B912" s="29"/>
      <c r="C912" s="30"/>
    </row>
    <row r="913">
      <c r="B913" s="29"/>
      <c r="C913" s="30"/>
    </row>
    <row r="914">
      <c r="B914" s="29"/>
      <c r="C914" s="30"/>
    </row>
    <row r="915">
      <c r="B915" s="29"/>
      <c r="C915" s="30"/>
    </row>
    <row r="916">
      <c r="B916" s="29"/>
      <c r="C916" s="30"/>
    </row>
    <row r="917">
      <c r="B917" s="29"/>
      <c r="C917" s="30"/>
    </row>
    <row r="918">
      <c r="B918" s="29"/>
      <c r="C918" s="30"/>
    </row>
    <row r="919">
      <c r="B919" s="29"/>
      <c r="C919" s="30"/>
    </row>
    <row r="920">
      <c r="B920" s="29"/>
      <c r="C920" s="30"/>
    </row>
    <row r="921">
      <c r="B921" s="29"/>
      <c r="C921" s="30"/>
    </row>
    <row r="922">
      <c r="B922" s="29"/>
      <c r="C922" s="30"/>
    </row>
    <row r="923">
      <c r="B923" s="29"/>
      <c r="C923" s="30"/>
    </row>
    <row r="924">
      <c r="B924" s="29"/>
      <c r="C924" s="30"/>
    </row>
    <row r="925">
      <c r="B925" s="29"/>
      <c r="C925" s="30"/>
    </row>
    <row r="926">
      <c r="B926" s="29"/>
      <c r="C926" s="30"/>
    </row>
    <row r="927">
      <c r="B927" s="29"/>
      <c r="C927" s="30"/>
    </row>
    <row r="928">
      <c r="B928" s="29"/>
      <c r="C928" s="30"/>
    </row>
    <row r="929">
      <c r="B929" s="29"/>
      <c r="C929" s="30"/>
    </row>
    <row r="930">
      <c r="B930" s="29"/>
      <c r="C930" s="30"/>
    </row>
    <row r="931">
      <c r="B931" s="29"/>
      <c r="C931" s="30"/>
    </row>
    <row r="932">
      <c r="B932" s="29"/>
      <c r="C932" s="30"/>
    </row>
    <row r="933">
      <c r="B933" s="29"/>
      <c r="C933" s="30"/>
    </row>
    <row r="934">
      <c r="B934" s="29"/>
      <c r="C934" s="30"/>
    </row>
    <row r="935">
      <c r="B935" s="29"/>
      <c r="C935" s="30"/>
    </row>
    <row r="936">
      <c r="B936" s="29"/>
      <c r="C936" s="30"/>
    </row>
    <row r="937">
      <c r="B937" s="29"/>
      <c r="C937" s="30"/>
    </row>
    <row r="938">
      <c r="B938" s="29"/>
      <c r="C938" s="30"/>
    </row>
    <row r="939">
      <c r="B939" s="29"/>
      <c r="C939" s="30"/>
    </row>
    <row r="940">
      <c r="B940" s="29"/>
      <c r="C940" s="30"/>
    </row>
    <row r="941">
      <c r="B941" s="29"/>
      <c r="C941" s="30"/>
    </row>
    <row r="942">
      <c r="B942" s="29"/>
      <c r="C942" s="30"/>
    </row>
    <row r="943">
      <c r="B943" s="29"/>
      <c r="C943" s="30"/>
    </row>
    <row r="944">
      <c r="B944" s="29"/>
      <c r="C944" s="30"/>
    </row>
    <row r="945">
      <c r="B945" s="29"/>
      <c r="C945" s="30"/>
    </row>
    <row r="946">
      <c r="B946" s="29"/>
      <c r="C946" s="30"/>
    </row>
    <row r="947">
      <c r="B947" s="29"/>
      <c r="C947" s="30"/>
    </row>
    <row r="948">
      <c r="B948" s="29"/>
      <c r="C948" s="30"/>
    </row>
    <row r="949">
      <c r="B949" s="29"/>
      <c r="C949" s="30"/>
    </row>
    <row r="950">
      <c r="B950" s="29"/>
      <c r="C950" s="30"/>
    </row>
    <row r="951">
      <c r="B951" s="29"/>
      <c r="C951" s="30"/>
    </row>
    <row r="952">
      <c r="B952" s="29"/>
      <c r="C952" s="30"/>
    </row>
    <row r="953">
      <c r="B953" s="29"/>
      <c r="C953" s="30"/>
    </row>
    <row r="954">
      <c r="B954" s="29"/>
      <c r="C954" s="30"/>
    </row>
    <row r="955">
      <c r="B955" s="29"/>
      <c r="C955" s="30"/>
    </row>
    <row r="956">
      <c r="B956" s="29"/>
      <c r="C956" s="30"/>
    </row>
    <row r="957">
      <c r="B957" s="29"/>
      <c r="C957" s="30"/>
    </row>
    <row r="958">
      <c r="B958" s="29"/>
      <c r="C958" s="30"/>
    </row>
    <row r="959">
      <c r="B959" s="29"/>
      <c r="C959" s="30"/>
    </row>
    <row r="960">
      <c r="B960" s="29"/>
      <c r="C960" s="30"/>
    </row>
    <row r="961">
      <c r="B961" s="29"/>
      <c r="C961" s="30"/>
    </row>
    <row r="962">
      <c r="B962" s="29"/>
      <c r="C962" s="30"/>
    </row>
    <row r="963">
      <c r="B963" s="29"/>
      <c r="C963" s="30"/>
    </row>
    <row r="964">
      <c r="B964" s="29"/>
      <c r="C964" s="30"/>
    </row>
    <row r="965">
      <c r="B965" s="29"/>
      <c r="C965" s="30"/>
    </row>
    <row r="966">
      <c r="B966" s="29"/>
      <c r="C966" s="30"/>
    </row>
    <row r="967">
      <c r="B967" s="29"/>
      <c r="C967" s="30"/>
    </row>
    <row r="968">
      <c r="B968" s="29"/>
      <c r="C968" s="30"/>
    </row>
    <row r="969">
      <c r="B969" s="29"/>
      <c r="C969" s="30"/>
    </row>
    <row r="970">
      <c r="B970" s="29"/>
      <c r="C970" s="30"/>
    </row>
    <row r="971">
      <c r="B971" s="29"/>
      <c r="C971" s="30"/>
    </row>
    <row r="972">
      <c r="B972" s="29"/>
      <c r="C972" s="30"/>
    </row>
    <row r="973">
      <c r="B973" s="29"/>
      <c r="C973" s="30"/>
    </row>
    <row r="974">
      <c r="B974" s="29"/>
      <c r="C974" s="30"/>
    </row>
    <row r="975">
      <c r="B975" s="29"/>
      <c r="C975" s="30"/>
    </row>
    <row r="976">
      <c r="B976" s="29"/>
      <c r="C976" s="30"/>
    </row>
    <row r="977">
      <c r="B977" s="29"/>
      <c r="C977" s="30"/>
    </row>
    <row r="978">
      <c r="B978" s="29"/>
      <c r="C978" s="30"/>
    </row>
    <row r="979">
      <c r="B979" s="29"/>
      <c r="C979" s="30"/>
    </row>
    <row r="980">
      <c r="B980" s="29"/>
      <c r="C980" s="30"/>
    </row>
    <row r="981">
      <c r="B981" s="29"/>
      <c r="C981" s="30"/>
    </row>
    <row r="982">
      <c r="B982" s="29"/>
      <c r="C982" s="30"/>
    </row>
    <row r="983">
      <c r="B983" s="29"/>
      <c r="C983" s="30"/>
    </row>
    <row r="984">
      <c r="B984" s="29"/>
      <c r="C984" s="30"/>
    </row>
    <row r="985">
      <c r="B985" s="29"/>
      <c r="C985" s="30"/>
    </row>
    <row r="986">
      <c r="B986" s="29"/>
      <c r="C986" s="30"/>
    </row>
    <row r="987">
      <c r="B987" s="29"/>
      <c r="C987" s="30"/>
    </row>
    <row r="988">
      <c r="B988" s="29"/>
      <c r="C988" s="30"/>
    </row>
    <row r="989">
      <c r="B989" s="29"/>
      <c r="C989" s="30"/>
    </row>
    <row r="990">
      <c r="B990" s="29"/>
      <c r="C990" s="30"/>
    </row>
    <row r="991">
      <c r="B991" s="29"/>
      <c r="C991" s="30"/>
    </row>
    <row r="992">
      <c r="B992" s="29"/>
      <c r="C992" s="30"/>
    </row>
    <row r="993">
      <c r="B993" s="29"/>
      <c r="C993" s="30"/>
    </row>
    <row r="994">
      <c r="B994" s="29"/>
      <c r="C994" s="30"/>
    </row>
    <row r="995">
      <c r="B995" s="29"/>
      <c r="C995" s="30"/>
    </row>
    <row r="996">
      <c r="B996" s="29"/>
      <c r="C996" s="30"/>
    </row>
    <row r="997">
      <c r="B997" s="29"/>
      <c r="C997" s="30"/>
    </row>
    <row r="998">
      <c r="B998" s="29"/>
      <c r="C998" s="30"/>
    </row>
    <row r="999">
      <c r="B999" s="29"/>
      <c r="C999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15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>
      <c r="A2" s="17" t="s">
        <v>24</v>
      </c>
      <c r="B2" s="12">
        <v>0.51</v>
      </c>
      <c r="C2" s="12" t="s">
        <v>28</v>
      </c>
      <c r="D2" s="12">
        <v>2.0</v>
      </c>
      <c r="E2" s="12">
        <v>0.91</v>
      </c>
      <c r="F2" s="12">
        <v>49.35</v>
      </c>
    </row>
    <row r="3">
      <c r="A3" s="17" t="s">
        <v>30</v>
      </c>
      <c r="B3" s="12">
        <v>0.75</v>
      </c>
      <c r="C3" s="12" t="s">
        <v>32</v>
      </c>
      <c r="D3" s="12">
        <v>4.0</v>
      </c>
      <c r="E3" s="12">
        <v>2.85</v>
      </c>
      <c r="F3" s="12">
        <v>33.0</v>
      </c>
    </row>
    <row r="4">
      <c r="A4" s="17" t="s">
        <v>33</v>
      </c>
      <c r="B4" s="12">
        <v>4.42</v>
      </c>
      <c r="C4" s="12">
        <v>451.0</v>
      </c>
      <c r="D4" s="12">
        <v>7.0</v>
      </c>
      <c r="E4" s="12">
        <v>22.6</v>
      </c>
      <c r="F4" s="12">
        <v>98.13</v>
      </c>
    </row>
    <row r="5">
      <c r="A5" s="17" t="s">
        <v>40</v>
      </c>
      <c r="B5" s="12">
        <v>15.89</v>
      </c>
      <c r="C5" s="12">
        <v>851.0</v>
      </c>
      <c r="D5" s="12">
        <v>8.0</v>
      </c>
      <c r="E5" s="12">
        <v>28.8</v>
      </c>
      <c r="F5" s="12">
        <v>100.01</v>
      </c>
    </row>
    <row r="6">
      <c r="A6" s="17" t="s">
        <v>42</v>
      </c>
      <c r="B6" s="12">
        <v>16.98</v>
      </c>
      <c r="C6" s="12" t="s">
        <v>43</v>
      </c>
      <c r="D6" s="12">
        <v>9.0</v>
      </c>
      <c r="E6" s="12">
        <v>26.72</v>
      </c>
      <c r="F6" s="12">
        <v>119.75</v>
      </c>
    </row>
    <row r="7">
      <c r="A7" s="17" t="s">
        <v>45</v>
      </c>
      <c r="B7" s="12">
        <v>17.5</v>
      </c>
      <c r="C7" s="12">
        <v>314.0</v>
      </c>
      <c r="D7" s="12">
        <v>10.0</v>
      </c>
      <c r="E7" s="12">
        <v>44.49</v>
      </c>
      <c r="F7" s="12">
        <v>124.49</v>
      </c>
    </row>
    <row r="8">
      <c r="A8" s="17" t="s">
        <v>47</v>
      </c>
      <c r="B8" s="12">
        <v>21.71</v>
      </c>
      <c r="C8" s="12" t="s">
        <v>48</v>
      </c>
      <c r="D8" s="12">
        <v>12.0</v>
      </c>
      <c r="E8" s="12">
        <v>47.01</v>
      </c>
      <c r="F8" s="12">
        <v>139.91</v>
      </c>
    </row>
    <row r="9">
      <c r="A9" s="17" t="s">
        <v>51</v>
      </c>
      <c r="B9" s="12">
        <v>23.9</v>
      </c>
      <c r="C9" s="12">
        <v>336.0</v>
      </c>
      <c r="D9" s="12">
        <v>14.0</v>
      </c>
      <c r="E9" s="12">
        <v>48.63</v>
      </c>
      <c r="F9" s="12">
        <v>168.06</v>
      </c>
    </row>
    <row r="10">
      <c r="A10" s="17" t="s">
        <v>53</v>
      </c>
      <c r="B10" s="12">
        <v>25.99</v>
      </c>
      <c r="C10" s="12">
        <v>346.0</v>
      </c>
      <c r="D10" s="12">
        <v>16.0</v>
      </c>
      <c r="E10" s="12">
        <v>89.93</v>
      </c>
      <c r="F10" s="12">
        <v>183.42</v>
      </c>
    </row>
    <row r="11">
      <c r="A11" s="17" t="s">
        <v>55</v>
      </c>
      <c r="B11" s="12">
        <v>41.76</v>
      </c>
      <c r="C11" s="12">
        <v>317.0</v>
      </c>
      <c r="D11" s="12">
        <v>17.0</v>
      </c>
      <c r="E11" s="12">
        <v>90.58</v>
      </c>
      <c r="F11" s="12">
        <v>169.11</v>
      </c>
    </row>
    <row r="12">
      <c r="A12" s="17" t="s">
        <v>57</v>
      </c>
      <c r="B12" s="12">
        <v>44.49</v>
      </c>
      <c r="C12" s="12">
        <v>550.0</v>
      </c>
      <c r="D12" s="12">
        <v>19.0</v>
      </c>
      <c r="E12" s="12">
        <v>97.27</v>
      </c>
      <c r="F12" s="12">
        <v>238.33</v>
      </c>
    </row>
    <row r="13">
      <c r="A13" s="17" t="s">
        <v>60</v>
      </c>
      <c r="B13" s="12">
        <v>46.43</v>
      </c>
      <c r="C13" s="12">
        <v>264.0</v>
      </c>
      <c r="D13" s="12">
        <v>20.0</v>
      </c>
      <c r="E13" s="12">
        <v>116.36</v>
      </c>
      <c r="F13" s="12">
        <v>208.94</v>
      </c>
    </row>
    <row r="14">
      <c r="A14" s="17" t="s">
        <v>62</v>
      </c>
      <c r="B14" s="12">
        <v>46.79</v>
      </c>
      <c r="C14" s="12">
        <v>111.0</v>
      </c>
      <c r="D14" s="12">
        <v>21.0</v>
      </c>
      <c r="E14" s="12">
        <v>116.53</v>
      </c>
      <c r="F14" s="12">
        <v>165.99</v>
      </c>
    </row>
    <row r="15">
      <c r="A15" s="17" t="s">
        <v>64</v>
      </c>
      <c r="B15" s="12">
        <v>70.22</v>
      </c>
      <c r="C15" s="12">
        <v>121.0</v>
      </c>
      <c r="D15" s="12">
        <v>24.0</v>
      </c>
      <c r="E15" s="12">
        <v>116.61</v>
      </c>
      <c r="F15" s="12">
        <v>236.81</v>
      </c>
    </row>
    <row r="16">
      <c r="A16" s="17"/>
      <c r="B16" s="12"/>
      <c r="C16" s="12"/>
      <c r="D16" s="12"/>
      <c r="E16" s="12"/>
      <c r="F16" s="12"/>
    </row>
    <row r="17">
      <c r="A17" s="17"/>
      <c r="B17" s="12"/>
      <c r="C17" s="12"/>
      <c r="D17" s="12"/>
      <c r="E17" s="12"/>
      <c r="F17" s="12"/>
    </row>
    <row r="18">
      <c r="A18" s="17"/>
      <c r="B18" s="12"/>
      <c r="C18" s="12"/>
      <c r="D18" s="12"/>
      <c r="E18" s="12"/>
      <c r="F18" s="12"/>
    </row>
    <row r="19">
      <c r="A19" s="17"/>
      <c r="B19" s="12"/>
      <c r="C19" s="12"/>
      <c r="D19" s="12"/>
      <c r="E19" s="12"/>
      <c r="F19" s="12"/>
    </row>
    <row r="20">
      <c r="A20" s="17"/>
      <c r="B20" s="12"/>
      <c r="C20" s="12"/>
      <c r="D20" s="12"/>
      <c r="E20" s="12"/>
      <c r="F20" s="12"/>
    </row>
    <row r="21">
      <c r="A21" s="17"/>
      <c r="B21" s="12"/>
      <c r="C21" s="12"/>
      <c r="D21" s="12"/>
      <c r="E21" s="12"/>
      <c r="F21" s="12"/>
    </row>
    <row r="22">
      <c r="A22" s="17"/>
      <c r="B22" s="12"/>
      <c r="C22" s="12"/>
      <c r="D22" s="12"/>
      <c r="E22" s="12"/>
      <c r="F22" s="12"/>
    </row>
    <row r="23">
      <c r="A23" s="17"/>
      <c r="B23" s="12"/>
      <c r="C23" s="12"/>
      <c r="D23" s="12"/>
      <c r="E23" s="12"/>
      <c r="F23" s="12"/>
    </row>
    <row r="24">
      <c r="A24" s="17"/>
      <c r="B24" s="12"/>
      <c r="C24" s="12"/>
      <c r="D24" s="12"/>
      <c r="E24" s="12"/>
      <c r="F24" s="12"/>
    </row>
    <row r="25">
      <c r="A25" s="17"/>
      <c r="B25" s="12"/>
      <c r="C25" s="12"/>
      <c r="D25" s="12"/>
      <c r="E25" s="12"/>
      <c r="F25" s="12"/>
    </row>
    <row r="26">
      <c r="A26" s="17"/>
      <c r="B26" s="12"/>
      <c r="C26" s="12"/>
      <c r="D26" s="12"/>
      <c r="E26" s="12"/>
      <c r="F26" s="12"/>
    </row>
    <row r="27">
      <c r="A27" s="17"/>
      <c r="B27" s="27"/>
      <c r="C27" s="12"/>
      <c r="D27" s="12"/>
      <c r="E27" s="27"/>
      <c r="F27" s="27"/>
    </row>
    <row r="28">
      <c r="A28" s="17"/>
      <c r="B28" s="27"/>
      <c r="C28" s="12"/>
      <c r="D28" s="12"/>
      <c r="E28" s="27"/>
      <c r="F28" s="27"/>
    </row>
    <row r="29">
      <c r="A29" s="17"/>
      <c r="B29" s="12"/>
      <c r="C29" s="12"/>
      <c r="D29" s="12"/>
      <c r="E29" s="12"/>
      <c r="F29" s="12"/>
    </row>
    <row r="30">
      <c r="A30" s="17"/>
      <c r="B30" s="12"/>
      <c r="C30" s="12"/>
      <c r="D30" s="12"/>
      <c r="E30" s="12"/>
      <c r="F30" s="12"/>
    </row>
    <row r="31">
      <c r="A31" s="17"/>
      <c r="B31" s="27"/>
      <c r="C31" s="12"/>
      <c r="D31" s="12"/>
      <c r="E31" s="27"/>
      <c r="F31" s="27"/>
    </row>
    <row r="32">
      <c r="A32" s="17"/>
      <c r="B32" s="27"/>
      <c r="C32" s="12"/>
      <c r="D32" s="12"/>
      <c r="E32" s="27"/>
      <c r="F32" s="27"/>
    </row>
    <row r="33">
      <c r="A33" s="17"/>
      <c r="B33" s="27"/>
      <c r="C33" s="12"/>
      <c r="D33" s="12"/>
      <c r="E33" s="27"/>
      <c r="F33" s="27"/>
    </row>
    <row r="34">
      <c r="A34" s="17"/>
      <c r="B34" s="27"/>
      <c r="C34" s="12"/>
      <c r="D34" s="12"/>
      <c r="E34" s="27"/>
      <c r="F34" s="27"/>
    </row>
    <row r="35">
      <c r="A35" s="17"/>
      <c r="B35" s="27"/>
      <c r="C35" s="12"/>
      <c r="D35" s="12"/>
      <c r="E35" s="27"/>
      <c r="F35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9.25"/>
  </cols>
  <sheetData>
    <row r="1">
      <c r="A1" s="3" t="s">
        <v>2</v>
      </c>
      <c r="W1" s="5" t="s">
        <v>4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114</v>
      </c>
      <c r="G2" s="5" t="s">
        <v>115</v>
      </c>
      <c r="H2" s="5" t="s">
        <v>116</v>
      </c>
      <c r="I2" s="5" t="s">
        <v>117</v>
      </c>
      <c r="J2" s="5" t="s">
        <v>6</v>
      </c>
      <c r="K2" s="5" t="s">
        <v>7</v>
      </c>
      <c r="L2" s="5" t="s">
        <v>118</v>
      </c>
      <c r="M2" s="5" t="s">
        <v>119</v>
      </c>
      <c r="N2" s="5" t="s">
        <v>120</v>
      </c>
      <c r="O2" s="5" t="s">
        <v>121</v>
      </c>
      <c r="P2" s="5" t="s">
        <v>122</v>
      </c>
      <c r="Q2" s="5" t="s">
        <v>123</v>
      </c>
      <c r="R2" s="5" t="s">
        <v>124</v>
      </c>
      <c r="S2" s="5" t="s">
        <v>125</v>
      </c>
      <c r="T2" s="5" t="s">
        <v>126</v>
      </c>
      <c r="U2" s="8" t="s">
        <v>5</v>
      </c>
    </row>
    <row r="3">
      <c r="A3" s="22">
        <v>69.0</v>
      </c>
      <c r="B3" s="5">
        <v>62.5</v>
      </c>
      <c r="C3" s="5">
        <v>64.4</v>
      </c>
      <c r="D3" s="5">
        <v>60.9</v>
      </c>
      <c r="E3" s="5">
        <v>56.6</v>
      </c>
      <c r="F3" s="5">
        <v>55.7</v>
      </c>
      <c r="G3" s="5">
        <v>65.9</v>
      </c>
      <c r="H3" s="5">
        <v>54.2</v>
      </c>
      <c r="I3" s="5">
        <v>54.9</v>
      </c>
      <c r="J3" s="5">
        <v>55.1</v>
      </c>
      <c r="K3" s="5">
        <v>49.4</v>
      </c>
      <c r="L3" s="5">
        <v>48.3</v>
      </c>
      <c r="M3" s="5">
        <v>56.1</v>
      </c>
      <c r="N3" s="5">
        <v>56.9</v>
      </c>
      <c r="O3" s="5">
        <v>61.5</v>
      </c>
      <c r="P3" s="5">
        <v>62.4</v>
      </c>
      <c r="Q3" s="5">
        <v>62.5</v>
      </c>
      <c r="R3" s="5">
        <v>61.5</v>
      </c>
      <c r="S3" s="5">
        <v>60.3</v>
      </c>
      <c r="T3" s="5">
        <v>59.5</v>
      </c>
      <c r="U3" s="5">
        <v>59.8</v>
      </c>
      <c r="W3" s="11">
        <f t="shared" ref="W3:W96" si="1">U3-T3</f>
        <v>0.3</v>
      </c>
    </row>
    <row r="4">
      <c r="W4" s="11">
        <f t="shared" si="1"/>
        <v>0</v>
      </c>
    </row>
    <row r="5">
      <c r="A5" s="3" t="s">
        <v>17</v>
      </c>
      <c r="W5" s="11">
        <f t="shared" si="1"/>
        <v>0</v>
      </c>
    </row>
    <row r="6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114</v>
      </c>
      <c r="H6" s="5" t="s">
        <v>116</v>
      </c>
      <c r="I6" s="5" t="s">
        <v>117</v>
      </c>
      <c r="J6" s="5" t="s">
        <v>6</v>
      </c>
      <c r="K6" s="5" t="s">
        <v>7</v>
      </c>
      <c r="L6" s="5" t="s">
        <v>118</v>
      </c>
      <c r="M6" s="5" t="s">
        <v>119</v>
      </c>
      <c r="N6" s="5" t="s">
        <v>120</v>
      </c>
      <c r="O6" s="5" t="s">
        <v>121</v>
      </c>
      <c r="P6" s="5" t="s">
        <v>122</v>
      </c>
      <c r="Q6" s="5" t="s">
        <v>123</v>
      </c>
      <c r="R6" s="5" t="s">
        <v>124</v>
      </c>
      <c r="S6" s="5" t="s">
        <v>125</v>
      </c>
      <c r="T6" s="5" t="s">
        <v>126</v>
      </c>
      <c r="U6" s="8" t="s">
        <v>5</v>
      </c>
      <c r="W6" s="11" t="str">
        <f t="shared" si="1"/>
        <v>#VALUE!</v>
      </c>
    </row>
    <row r="7">
      <c r="A7" s="22">
        <v>18.0</v>
      </c>
      <c r="B7" s="5">
        <v>26.6</v>
      </c>
      <c r="C7" s="5">
        <v>25.3</v>
      </c>
      <c r="D7" s="5">
        <v>19.9</v>
      </c>
      <c r="E7" s="5">
        <v>22.3</v>
      </c>
      <c r="F7" s="5">
        <v>18.3</v>
      </c>
      <c r="G7" s="5">
        <v>13.5</v>
      </c>
      <c r="H7" s="5">
        <v>14.0</v>
      </c>
      <c r="I7" s="5">
        <v>15.8</v>
      </c>
      <c r="J7" s="5">
        <v>22.6</v>
      </c>
      <c r="K7" s="5">
        <v>22.4</v>
      </c>
      <c r="L7" s="5">
        <v>26.6</v>
      </c>
      <c r="M7" s="5">
        <v>23.8</v>
      </c>
      <c r="N7" s="5">
        <v>24.4</v>
      </c>
      <c r="O7" s="5">
        <v>22.9</v>
      </c>
      <c r="P7" s="5">
        <v>21.7</v>
      </c>
      <c r="Q7" s="5">
        <v>21.7</v>
      </c>
      <c r="R7" s="5">
        <v>22.0</v>
      </c>
      <c r="S7" s="5">
        <v>23.7</v>
      </c>
      <c r="T7" s="5">
        <v>24.3</v>
      </c>
      <c r="U7" s="5">
        <v>24.5</v>
      </c>
      <c r="W7" s="11">
        <f t="shared" si="1"/>
        <v>0.2</v>
      </c>
    </row>
    <row r="8">
      <c r="W8" s="11">
        <f t="shared" si="1"/>
        <v>0</v>
      </c>
    </row>
    <row r="9">
      <c r="W9" s="11">
        <f t="shared" si="1"/>
        <v>0</v>
      </c>
    </row>
    <row r="10">
      <c r="A10" s="3" t="s">
        <v>35</v>
      </c>
      <c r="W10" s="11">
        <f t="shared" si="1"/>
        <v>0</v>
      </c>
    </row>
    <row r="11"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114</v>
      </c>
      <c r="G11" s="5" t="s">
        <v>115</v>
      </c>
      <c r="H11" s="5" t="s">
        <v>116</v>
      </c>
      <c r="I11" s="5" t="s">
        <v>117</v>
      </c>
      <c r="J11" s="5" t="s">
        <v>6</v>
      </c>
      <c r="K11" s="5" t="s">
        <v>7</v>
      </c>
      <c r="L11" s="5" t="s">
        <v>118</v>
      </c>
      <c r="M11" s="5" t="s">
        <v>119</v>
      </c>
      <c r="N11" s="5" t="s">
        <v>120</v>
      </c>
      <c r="O11" s="5" t="s">
        <v>121</v>
      </c>
      <c r="P11" s="5" t="s">
        <v>122</v>
      </c>
      <c r="Q11" s="5" t="s">
        <v>123</v>
      </c>
      <c r="R11" s="5" t="s">
        <v>124</v>
      </c>
      <c r="S11" s="5" t="s">
        <v>125</v>
      </c>
      <c r="T11" s="5" t="s">
        <v>126</v>
      </c>
      <c r="U11" s="8" t="s">
        <v>5</v>
      </c>
      <c r="W11" s="11" t="str">
        <f t="shared" si="1"/>
        <v>#VALUE!</v>
      </c>
    </row>
    <row r="12">
      <c r="A12" s="5" t="s">
        <v>38</v>
      </c>
      <c r="B12" s="5">
        <v>77.5</v>
      </c>
      <c r="C12" s="5">
        <v>79.7</v>
      </c>
      <c r="D12" s="5">
        <v>74.8</v>
      </c>
      <c r="E12" s="5">
        <v>73.6</v>
      </c>
      <c r="F12" s="5">
        <v>71.0</v>
      </c>
      <c r="G12" s="5">
        <v>70.8</v>
      </c>
      <c r="H12" s="5">
        <v>58.3</v>
      </c>
      <c r="I12" s="5">
        <v>57.8</v>
      </c>
      <c r="J12" s="5">
        <v>61.1</v>
      </c>
      <c r="K12" s="5">
        <v>58.4</v>
      </c>
      <c r="L12" s="5">
        <v>54.8</v>
      </c>
      <c r="M12" s="5">
        <v>64.6</v>
      </c>
      <c r="N12" s="5">
        <v>65.7</v>
      </c>
      <c r="O12" s="5">
        <v>69.3</v>
      </c>
      <c r="P12" s="5">
        <v>67.3</v>
      </c>
      <c r="Q12" s="5">
        <v>67.8</v>
      </c>
      <c r="R12" s="5">
        <v>68.5</v>
      </c>
      <c r="S12" s="5">
        <v>64.3</v>
      </c>
      <c r="T12" s="5">
        <v>64.6</v>
      </c>
      <c r="U12" s="5">
        <v>65.9</v>
      </c>
      <c r="W12" s="11">
        <f t="shared" si="1"/>
        <v>1.3</v>
      </c>
      <c r="X12" s="5" t="s">
        <v>131</v>
      </c>
    </row>
    <row r="13">
      <c r="A13" s="5" t="s">
        <v>41</v>
      </c>
      <c r="B13" s="5">
        <v>76.6</v>
      </c>
      <c r="C13" s="5">
        <v>75.7</v>
      </c>
      <c r="D13" s="5">
        <v>68.0</v>
      </c>
      <c r="E13" s="5">
        <v>68.5</v>
      </c>
      <c r="F13" s="5">
        <v>69.8</v>
      </c>
      <c r="G13" s="5">
        <v>70.4</v>
      </c>
      <c r="H13" s="5">
        <v>60.2</v>
      </c>
      <c r="I13" s="5">
        <v>61.5</v>
      </c>
      <c r="J13" s="5">
        <v>67.5</v>
      </c>
      <c r="K13" s="5">
        <v>53.8</v>
      </c>
      <c r="L13" s="5">
        <v>54.1</v>
      </c>
      <c r="M13" s="5">
        <v>63.4</v>
      </c>
      <c r="N13" s="5">
        <v>66.3</v>
      </c>
      <c r="O13" s="5">
        <v>68.2</v>
      </c>
      <c r="P13" s="5">
        <v>72.4</v>
      </c>
      <c r="Q13" s="5">
        <v>73.3</v>
      </c>
      <c r="R13" s="5">
        <v>66.5</v>
      </c>
      <c r="S13" s="5">
        <v>69.5</v>
      </c>
      <c r="T13" s="5">
        <v>66.5</v>
      </c>
      <c r="U13" s="5">
        <v>69.0</v>
      </c>
      <c r="W13" s="11">
        <f t="shared" si="1"/>
        <v>2.5</v>
      </c>
      <c r="X13" s="5" t="s">
        <v>132</v>
      </c>
    </row>
    <row r="14">
      <c r="A14" s="5" t="s">
        <v>44</v>
      </c>
      <c r="B14" s="5">
        <v>52.0</v>
      </c>
      <c r="C14" s="5">
        <v>53.4</v>
      </c>
      <c r="D14" s="5">
        <v>49.4</v>
      </c>
      <c r="E14" s="5">
        <v>47.3</v>
      </c>
      <c r="F14" s="5">
        <v>48.1</v>
      </c>
      <c r="G14" s="5">
        <v>56.8</v>
      </c>
      <c r="H14" s="5">
        <v>47.2</v>
      </c>
      <c r="I14" s="5">
        <v>49.1</v>
      </c>
      <c r="J14" s="5">
        <v>48.1</v>
      </c>
      <c r="K14" s="5">
        <v>42.3</v>
      </c>
      <c r="L14" s="5">
        <v>42.8</v>
      </c>
      <c r="M14" s="5">
        <v>49.4</v>
      </c>
      <c r="N14" s="5">
        <v>50.2</v>
      </c>
      <c r="O14" s="5">
        <v>56.5</v>
      </c>
      <c r="P14" s="5">
        <v>57.5</v>
      </c>
      <c r="Q14" s="5">
        <v>57.0</v>
      </c>
      <c r="R14" s="5">
        <v>55.2</v>
      </c>
      <c r="S14" s="5">
        <v>54.6</v>
      </c>
      <c r="T14" s="5">
        <v>54.2</v>
      </c>
      <c r="U14" s="5">
        <v>53.6</v>
      </c>
      <c r="W14" s="11">
        <f t="shared" si="1"/>
        <v>-0.6</v>
      </c>
      <c r="X14" s="5" t="s">
        <v>135</v>
      </c>
    </row>
    <row r="15">
      <c r="W15" s="11">
        <f t="shared" si="1"/>
        <v>0</v>
      </c>
    </row>
    <row r="16">
      <c r="W16" s="11">
        <f t="shared" si="1"/>
        <v>0</v>
      </c>
    </row>
    <row r="17">
      <c r="A17" s="3" t="s">
        <v>50</v>
      </c>
      <c r="W17" s="11">
        <f t="shared" si="1"/>
        <v>0</v>
      </c>
    </row>
    <row r="18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114</v>
      </c>
      <c r="G18" s="5" t="s">
        <v>115</v>
      </c>
      <c r="H18" s="5" t="s">
        <v>116</v>
      </c>
      <c r="I18" s="5" t="s">
        <v>117</v>
      </c>
      <c r="J18" s="5" t="s">
        <v>6</v>
      </c>
      <c r="K18" s="5" t="s">
        <v>7</v>
      </c>
      <c r="L18" s="5" t="s">
        <v>118</v>
      </c>
      <c r="M18" s="5" t="s">
        <v>119</v>
      </c>
      <c r="N18" s="5" t="s">
        <v>120</v>
      </c>
      <c r="O18" s="5" t="s">
        <v>121</v>
      </c>
      <c r="P18" s="5" t="s">
        <v>122</v>
      </c>
      <c r="Q18" s="5" t="s">
        <v>123</v>
      </c>
      <c r="R18" s="5" t="s">
        <v>124</v>
      </c>
      <c r="S18" s="5" t="s">
        <v>125</v>
      </c>
      <c r="T18" s="5" t="s">
        <v>126</v>
      </c>
      <c r="U18" s="8" t="s">
        <v>5</v>
      </c>
      <c r="W18" s="11" t="str">
        <f t="shared" si="1"/>
        <v>#VALUE!</v>
      </c>
    </row>
    <row r="19">
      <c r="A19" s="5">
        <v>13.5</v>
      </c>
      <c r="B19" s="5">
        <v>16.3</v>
      </c>
      <c r="C19" s="47">
        <v>45309.0</v>
      </c>
      <c r="D19" s="5">
        <v>18.9</v>
      </c>
      <c r="E19" s="5">
        <v>11.3</v>
      </c>
      <c r="F19" s="5">
        <v>3.9</v>
      </c>
      <c r="G19" s="5">
        <v>3.6</v>
      </c>
      <c r="H19" s="5">
        <v>20.7</v>
      </c>
      <c r="I19" s="5">
        <v>24.3</v>
      </c>
      <c r="J19" s="5">
        <v>9.8</v>
      </c>
      <c r="K19" s="5">
        <v>20.1</v>
      </c>
      <c r="L19" s="5">
        <v>15.7</v>
      </c>
      <c r="M19" s="5">
        <v>3.2</v>
      </c>
      <c r="N19" s="5">
        <v>2.3</v>
      </c>
      <c r="O19" s="5">
        <v>2.5</v>
      </c>
      <c r="P19" s="5">
        <v>2.6</v>
      </c>
      <c r="Q19" s="5">
        <v>2.9</v>
      </c>
      <c r="R19" s="5">
        <v>4.1</v>
      </c>
      <c r="S19" s="5">
        <v>3.9</v>
      </c>
      <c r="T19" s="5">
        <v>4.5</v>
      </c>
      <c r="U19" s="5">
        <v>5.8</v>
      </c>
      <c r="W19" s="11">
        <f t="shared" si="1"/>
        <v>1.3</v>
      </c>
    </row>
    <row r="20">
      <c r="W20" s="11">
        <f t="shared" si="1"/>
        <v>0</v>
      </c>
    </row>
    <row r="21">
      <c r="A21" s="3" t="s">
        <v>58</v>
      </c>
      <c r="W21" s="11">
        <f t="shared" si="1"/>
        <v>0</v>
      </c>
    </row>
    <row r="22">
      <c r="A22" s="5" t="s">
        <v>10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114</v>
      </c>
      <c r="G22" s="5" t="s">
        <v>115</v>
      </c>
      <c r="H22" s="5" t="s">
        <v>116</v>
      </c>
      <c r="I22" s="5" t="s">
        <v>117</v>
      </c>
      <c r="J22" s="5" t="s">
        <v>6</v>
      </c>
      <c r="K22" s="5" t="s">
        <v>7</v>
      </c>
      <c r="L22" s="5" t="s">
        <v>118</v>
      </c>
      <c r="M22" s="5" t="s">
        <v>119</v>
      </c>
      <c r="N22" s="5" t="s">
        <v>120</v>
      </c>
      <c r="O22" s="5" t="s">
        <v>121</v>
      </c>
      <c r="P22" s="5" t="s">
        <v>122</v>
      </c>
      <c r="Q22" s="5" t="s">
        <v>123</v>
      </c>
      <c r="R22" s="5" t="s">
        <v>124</v>
      </c>
      <c r="S22" s="5" t="s">
        <v>125</v>
      </c>
      <c r="T22" s="5" t="s">
        <v>126</v>
      </c>
      <c r="U22" s="8" t="s">
        <v>5</v>
      </c>
      <c r="W22" s="11" t="str">
        <f t="shared" si="1"/>
        <v>#VALUE!</v>
      </c>
    </row>
    <row r="23">
      <c r="A23" s="5" t="s">
        <v>63</v>
      </c>
      <c r="B23" s="5" t="s">
        <v>63</v>
      </c>
      <c r="C23" s="14" t="s">
        <v>63</v>
      </c>
      <c r="D23" s="14" t="s">
        <v>63</v>
      </c>
      <c r="E23" s="14" t="s">
        <v>63</v>
      </c>
      <c r="F23" s="14" t="s">
        <v>63</v>
      </c>
      <c r="G23" s="14" t="s">
        <v>63</v>
      </c>
      <c r="H23" s="14" t="s">
        <v>63</v>
      </c>
      <c r="I23" s="14" t="s">
        <v>63</v>
      </c>
      <c r="J23" s="14" t="s">
        <v>63</v>
      </c>
      <c r="K23" s="14" t="s">
        <v>63</v>
      </c>
      <c r="L23" s="14" t="s">
        <v>63</v>
      </c>
      <c r="M23" s="14" t="s">
        <v>63</v>
      </c>
      <c r="N23" s="14" t="s">
        <v>63</v>
      </c>
      <c r="O23" s="14" t="s">
        <v>63</v>
      </c>
      <c r="P23" s="14" t="s">
        <v>63</v>
      </c>
      <c r="Q23" s="14" t="s">
        <v>63</v>
      </c>
      <c r="R23" s="14" t="s">
        <v>63</v>
      </c>
      <c r="S23" s="14" t="s">
        <v>63</v>
      </c>
      <c r="T23" s="14" t="s">
        <v>63</v>
      </c>
      <c r="W23" s="11" t="str">
        <f t="shared" si="1"/>
        <v>#VALUE!</v>
      </c>
    </row>
    <row r="24">
      <c r="A24" s="5">
        <v>2.6</v>
      </c>
      <c r="B24" s="5">
        <v>12.5</v>
      </c>
      <c r="C24" s="5">
        <v>14.4</v>
      </c>
      <c r="D24" s="5">
        <v>3.8</v>
      </c>
      <c r="E24" s="5">
        <v>5.9</v>
      </c>
      <c r="F24" s="5">
        <v>5.1</v>
      </c>
      <c r="G24" s="5">
        <v>3.7</v>
      </c>
      <c r="H24" s="5">
        <v>3.9</v>
      </c>
      <c r="I24" s="5">
        <v>3.9</v>
      </c>
      <c r="J24" s="5">
        <v>3.9</v>
      </c>
      <c r="K24" s="5">
        <v>3.6</v>
      </c>
      <c r="L24" s="5">
        <v>3.9</v>
      </c>
      <c r="M24" s="5">
        <v>3.4</v>
      </c>
      <c r="N24" s="5">
        <v>3.0</v>
      </c>
      <c r="O24" s="5">
        <v>2.5</v>
      </c>
      <c r="P24" s="5">
        <v>2.2</v>
      </c>
      <c r="Q24" s="5">
        <v>2.0</v>
      </c>
      <c r="R24" s="5">
        <v>2.0</v>
      </c>
      <c r="S24" s="5">
        <v>1.6</v>
      </c>
      <c r="T24" s="5">
        <v>1.8</v>
      </c>
      <c r="U24" s="5">
        <v>1.5</v>
      </c>
      <c r="W24" s="11">
        <f t="shared" si="1"/>
        <v>-0.3</v>
      </c>
    </row>
    <row r="25">
      <c r="A25" s="22" t="s">
        <v>68</v>
      </c>
      <c r="B25" s="22" t="s">
        <v>68</v>
      </c>
      <c r="C25" s="37" t="s">
        <v>68</v>
      </c>
      <c r="D25" s="37" t="s">
        <v>68</v>
      </c>
      <c r="E25" s="37" t="s">
        <v>68</v>
      </c>
      <c r="F25" s="37" t="s">
        <v>68</v>
      </c>
      <c r="G25" s="37" t="s">
        <v>68</v>
      </c>
      <c r="H25" s="37" t="s">
        <v>68</v>
      </c>
      <c r="I25" s="37" t="s">
        <v>68</v>
      </c>
      <c r="J25" s="37" t="s">
        <v>68</v>
      </c>
      <c r="K25" s="37" t="s">
        <v>68</v>
      </c>
      <c r="L25" s="37" t="s">
        <v>68</v>
      </c>
      <c r="M25" s="37" t="s">
        <v>68</v>
      </c>
      <c r="N25" s="37" t="s">
        <v>68</v>
      </c>
      <c r="O25" s="37" t="s">
        <v>68</v>
      </c>
      <c r="P25" s="37" t="s">
        <v>68</v>
      </c>
      <c r="Q25" s="37" t="s">
        <v>68</v>
      </c>
      <c r="R25" s="37" t="s">
        <v>68</v>
      </c>
      <c r="S25" s="37" t="s">
        <v>68</v>
      </c>
      <c r="T25" s="37" t="s">
        <v>68</v>
      </c>
      <c r="W25" s="11" t="str">
        <f t="shared" si="1"/>
        <v>#VALUE!</v>
      </c>
    </row>
    <row r="26">
      <c r="A26" s="22">
        <v>21.0</v>
      </c>
      <c r="B26" s="40">
        <v>0.268</v>
      </c>
      <c r="C26" s="5">
        <v>29.5</v>
      </c>
      <c r="D26" s="5">
        <v>21.1</v>
      </c>
      <c r="E26" s="5">
        <v>23.3</v>
      </c>
      <c r="F26" s="5">
        <v>23.3</v>
      </c>
      <c r="G26" s="5">
        <v>18.7</v>
      </c>
      <c r="H26" s="5">
        <v>19.9</v>
      </c>
      <c r="I26" s="5">
        <v>19.2</v>
      </c>
      <c r="J26" s="5">
        <v>18.3</v>
      </c>
      <c r="K26" s="5">
        <v>17.7</v>
      </c>
      <c r="L26" s="5">
        <v>17.2</v>
      </c>
      <c r="M26" s="5">
        <v>17.0</v>
      </c>
      <c r="N26" s="5">
        <v>16.3</v>
      </c>
      <c r="O26" s="5">
        <v>15.7</v>
      </c>
      <c r="P26" s="5">
        <v>14.9</v>
      </c>
      <c r="Q26" s="5">
        <v>15.2</v>
      </c>
      <c r="R26" s="5">
        <v>13.9</v>
      </c>
      <c r="S26" s="5">
        <v>13.7</v>
      </c>
      <c r="T26" s="5">
        <v>13.3</v>
      </c>
      <c r="U26" s="5">
        <v>12.8</v>
      </c>
      <c r="W26" s="11">
        <f t="shared" si="1"/>
        <v>-0.5</v>
      </c>
    </row>
    <row r="27">
      <c r="A27" s="22" t="s">
        <v>73</v>
      </c>
      <c r="B27" s="22" t="s">
        <v>73</v>
      </c>
      <c r="C27" s="37" t="s">
        <v>73</v>
      </c>
      <c r="D27" s="37" t="s">
        <v>73</v>
      </c>
      <c r="E27" s="37" t="s">
        <v>73</v>
      </c>
      <c r="F27" s="37" t="s">
        <v>73</v>
      </c>
      <c r="G27" s="37" t="s">
        <v>73</v>
      </c>
      <c r="H27" s="37" t="s">
        <v>73</v>
      </c>
      <c r="I27" s="37" t="s">
        <v>73</v>
      </c>
      <c r="J27" s="37" t="s">
        <v>73</v>
      </c>
      <c r="K27" s="37" t="s">
        <v>73</v>
      </c>
      <c r="L27" s="37" t="s">
        <v>73</v>
      </c>
      <c r="M27" s="37" t="s">
        <v>73</v>
      </c>
      <c r="N27" s="37" t="s">
        <v>73</v>
      </c>
      <c r="O27" s="37" t="s">
        <v>73</v>
      </c>
      <c r="P27" s="37" t="s">
        <v>73</v>
      </c>
      <c r="Q27" s="37" t="s">
        <v>73</v>
      </c>
      <c r="R27" s="37" t="s">
        <v>73</v>
      </c>
      <c r="S27" s="37" t="s">
        <v>73</v>
      </c>
      <c r="T27" s="37" t="s">
        <v>73</v>
      </c>
      <c r="W27" s="11" t="str">
        <f t="shared" si="1"/>
        <v>#VALUE!</v>
      </c>
    </row>
    <row r="28">
      <c r="A28" s="22">
        <v>23.8</v>
      </c>
      <c r="B28" s="5">
        <v>16.7</v>
      </c>
      <c r="C28" s="5">
        <v>17.0</v>
      </c>
      <c r="D28" s="5">
        <v>22.8</v>
      </c>
      <c r="E28" s="5">
        <v>20.3</v>
      </c>
      <c r="F28" s="5">
        <v>20.3</v>
      </c>
      <c r="G28" s="5">
        <v>21.5</v>
      </c>
      <c r="H28" s="5">
        <v>21.7</v>
      </c>
      <c r="I28" s="5">
        <v>19.6</v>
      </c>
      <c r="J28" s="5">
        <v>20.8</v>
      </c>
      <c r="K28" s="5">
        <v>20.6</v>
      </c>
      <c r="L28" s="5">
        <v>18.6</v>
      </c>
      <c r="M28" s="5">
        <v>19.9</v>
      </c>
      <c r="N28" s="5">
        <v>21.0</v>
      </c>
      <c r="O28" s="5">
        <v>20.8</v>
      </c>
      <c r="P28" s="5">
        <v>22.5</v>
      </c>
      <c r="Q28" s="5">
        <v>21.2</v>
      </c>
      <c r="R28" s="5">
        <v>19.9</v>
      </c>
      <c r="S28" s="5">
        <v>19.9</v>
      </c>
      <c r="T28" s="5">
        <v>20.4</v>
      </c>
      <c r="U28" s="5">
        <v>20.1</v>
      </c>
      <c r="W28" s="11">
        <f t="shared" si="1"/>
        <v>-0.3</v>
      </c>
    </row>
    <row r="29">
      <c r="A29" s="22" t="s">
        <v>76</v>
      </c>
      <c r="B29" s="22" t="s">
        <v>76</v>
      </c>
      <c r="C29" s="37" t="s">
        <v>76</v>
      </c>
      <c r="D29" s="37" t="s">
        <v>76</v>
      </c>
      <c r="E29" s="37" t="s">
        <v>76</v>
      </c>
      <c r="F29" s="37" t="s">
        <v>76</v>
      </c>
      <c r="G29" s="37" t="s">
        <v>76</v>
      </c>
      <c r="H29" s="37" t="s">
        <v>76</v>
      </c>
      <c r="I29" s="37" t="s">
        <v>76</v>
      </c>
      <c r="J29" s="37" t="s">
        <v>76</v>
      </c>
      <c r="K29" s="5" t="s">
        <v>76</v>
      </c>
      <c r="L29" s="5" t="s">
        <v>76</v>
      </c>
      <c r="M29" s="5" t="s">
        <v>76</v>
      </c>
      <c r="N29" s="5" t="s">
        <v>76</v>
      </c>
      <c r="O29" s="5" t="s">
        <v>76</v>
      </c>
      <c r="P29" s="5" t="s">
        <v>76</v>
      </c>
      <c r="Q29" s="5" t="s">
        <v>76</v>
      </c>
      <c r="R29" s="5" t="s">
        <v>76</v>
      </c>
      <c r="S29" s="5" t="s">
        <v>76</v>
      </c>
      <c r="T29" s="5" t="s">
        <v>76</v>
      </c>
      <c r="W29" s="11" t="str">
        <f t="shared" si="1"/>
        <v>#VALUE!</v>
      </c>
    </row>
    <row r="30">
      <c r="A30" s="22">
        <v>18.2</v>
      </c>
      <c r="B30" s="5">
        <v>10.0</v>
      </c>
      <c r="C30" s="5">
        <v>10.3</v>
      </c>
      <c r="D30" s="5">
        <v>17.0</v>
      </c>
      <c r="E30" s="5">
        <v>15.8</v>
      </c>
      <c r="F30" s="5">
        <v>15.3</v>
      </c>
      <c r="G30" s="5">
        <v>17.5</v>
      </c>
      <c r="H30" s="5">
        <v>17.6</v>
      </c>
      <c r="I30" s="5">
        <v>17.7</v>
      </c>
      <c r="J30" s="5">
        <v>18.0</v>
      </c>
      <c r="K30" s="5">
        <v>17.8</v>
      </c>
      <c r="L30" s="5">
        <v>17.0</v>
      </c>
      <c r="M30" s="5">
        <v>19.0</v>
      </c>
      <c r="N30" s="5">
        <v>18.2</v>
      </c>
      <c r="O30" s="5">
        <v>19.5</v>
      </c>
      <c r="P30" s="5">
        <v>19.6</v>
      </c>
      <c r="Q30" s="5">
        <v>19.8</v>
      </c>
      <c r="R30" s="5">
        <v>18.8</v>
      </c>
      <c r="S30" s="5">
        <v>18.8</v>
      </c>
      <c r="T30" s="5">
        <v>18.3</v>
      </c>
      <c r="U30" s="5">
        <v>19.7</v>
      </c>
      <c r="W30" s="11">
        <f t="shared" si="1"/>
        <v>1.4</v>
      </c>
    </row>
    <row r="31">
      <c r="A31" s="22" t="s">
        <v>79</v>
      </c>
      <c r="B31" s="22" t="s">
        <v>79</v>
      </c>
      <c r="C31" s="37" t="s">
        <v>79</v>
      </c>
      <c r="D31" s="37" t="s">
        <v>79</v>
      </c>
      <c r="E31" s="37" t="s">
        <v>79</v>
      </c>
      <c r="F31" s="37" t="s">
        <v>79</v>
      </c>
      <c r="G31" s="37" t="s">
        <v>79</v>
      </c>
      <c r="H31" s="37" t="s">
        <v>79</v>
      </c>
      <c r="I31" s="37" t="s">
        <v>79</v>
      </c>
      <c r="J31" s="37" t="s">
        <v>79</v>
      </c>
      <c r="K31" s="37" t="s">
        <v>79</v>
      </c>
      <c r="L31" s="37" t="s">
        <v>79</v>
      </c>
      <c r="M31" s="37" t="s">
        <v>79</v>
      </c>
      <c r="N31" s="37" t="s">
        <v>79</v>
      </c>
      <c r="O31" s="37" t="s">
        <v>79</v>
      </c>
      <c r="P31" s="37" t="s">
        <v>79</v>
      </c>
      <c r="Q31" s="37" t="s">
        <v>79</v>
      </c>
      <c r="R31" s="37" t="s">
        <v>79</v>
      </c>
      <c r="S31" s="37" t="s">
        <v>79</v>
      </c>
      <c r="T31" s="37" t="s">
        <v>79</v>
      </c>
      <c r="W31" s="11" t="str">
        <f t="shared" si="1"/>
        <v>#VALUE!</v>
      </c>
    </row>
    <row r="32">
      <c r="A32" s="22">
        <v>9.7</v>
      </c>
      <c r="B32" s="5">
        <v>5.2</v>
      </c>
      <c r="C32" s="5">
        <v>5.0</v>
      </c>
      <c r="D32" s="5">
        <v>9.9</v>
      </c>
      <c r="E32" s="5">
        <v>8.7</v>
      </c>
      <c r="F32" s="5">
        <v>9.9</v>
      </c>
      <c r="G32" s="5">
        <v>11.0</v>
      </c>
      <c r="H32" s="5">
        <v>10.0</v>
      </c>
      <c r="I32" s="5">
        <v>10.8</v>
      </c>
      <c r="J32" s="5">
        <v>11.1</v>
      </c>
      <c r="K32" s="5">
        <v>11.3</v>
      </c>
      <c r="L32" s="5">
        <v>12.1</v>
      </c>
      <c r="M32" s="5">
        <v>12.0</v>
      </c>
      <c r="N32" s="5">
        <v>11.5</v>
      </c>
      <c r="O32" s="5">
        <v>12.3</v>
      </c>
      <c r="P32" s="5">
        <v>12.2</v>
      </c>
      <c r="Q32" s="5">
        <v>11.9</v>
      </c>
      <c r="R32" s="5">
        <v>11.8</v>
      </c>
      <c r="S32" s="5">
        <v>11.5</v>
      </c>
      <c r="T32" s="5">
        <v>12.8</v>
      </c>
      <c r="U32" s="5">
        <v>12.4</v>
      </c>
      <c r="W32" s="11">
        <f t="shared" si="1"/>
        <v>-0.4</v>
      </c>
    </row>
    <row r="33">
      <c r="A33" s="22" t="s">
        <v>82</v>
      </c>
      <c r="B33" s="22" t="s">
        <v>82</v>
      </c>
      <c r="C33" s="37" t="s">
        <v>82</v>
      </c>
      <c r="D33" s="37" t="s">
        <v>82</v>
      </c>
      <c r="E33" s="37" t="s">
        <v>82</v>
      </c>
      <c r="F33" s="37" t="s">
        <v>82</v>
      </c>
      <c r="G33" s="37" t="s">
        <v>82</v>
      </c>
      <c r="H33" s="37" t="s">
        <v>82</v>
      </c>
      <c r="I33" s="37" t="s">
        <v>82</v>
      </c>
      <c r="J33" s="37" t="s">
        <v>82</v>
      </c>
      <c r="K33" s="37" t="s">
        <v>82</v>
      </c>
      <c r="L33" s="37" t="s">
        <v>82</v>
      </c>
      <c r="M33" s="37" t="s">
        <v>82</v>
      </c>
      <c r="N33" s="37" t="s">
        <v>82</v>
      </c>
      <c r="O33" s="37" t="s">
        <v>82</v>
      </c>
      <c r="P33" s="37" t="s">
        <v>82</v>
      </c>
      <c r="Q33" s="37" t="s">
        <v>82</v>
      </c>
      <c r="R33" s="37" t="s">
        <v>82</v>
      </c>
      <c r="S33" s="37" t="s">
        <v>82</v>
      </c>
      <c r="T33" s="37" t="s">
        <v>82</v>
      </c>
      <c r="W33" s="11" t="str">
        <f t="shared" si="1"/>
        <v>#VALUE!</v>
      </c>
    </row>
    <row r="34">
      <c r="A34" s="22">
        <v>17.1</v>
      </c>
      <c r="B34" s="5">
        <v>9.0</v>
      </c>
      <c r="C34" s="5">
        <v>8.7</v>
      </c>
      <c r="D34" s="5">
        <v>17.7</v>
      </c>
      <c r="E34" s="5">
        <v>17.7</v>
      </c>
      <c r="F34" s="5">
        <v>17.4</v>
      </c>
      <c r="G34" s="5">
        <v>18.9</v>
      </c>
      <c r="H34" s="5">
        <v>18.6</v>
      </c>
      <c r="I34" s="5">
        <v>19.8</v>
      </c>
      <c r="J34" s="5">
        <v>19.6</v>
      </c>
      <c r="K34" s="5">
        <v>20.9</v>
      </c>
      <c r="L34" s="5">
        <v>22.1</v>
      </c>
      <c r="M34" s="5">
        <v>19.9</v>
      </c>
      <c r="N34" s="5">
        <v>20.7</v>
      </c>
      <c r="O34" s="5">
        <v>20.7</v>
      </c>
      <c r="P34" s="5">
        <v>19.9</v>
      </c>
      <c r="Q34" s="5">
        <v>20.4</v>
      </c>
      <c r="R34" s="5">
        <v>23.4</v>
      </c>
      <c r="S34" s="5">
        <v>23.3</v>
      </c>
      <c r="T34" s="5">
        <v>23.0</v>
      </c>
      <c r="U34" s="5">
        <v>23.0</v>
      </c>
      <c r="W34" s="11">
        <f t="shared" si="1"/>
        <v>0</v>
      </c>
    </row>
    <row r="35">
      <c r="Q35" s="5" t="s">
        <v>133</v>
      </c>
      <c r="R35" s="5" t="s">
        <v>133</v>
      </c>
      <c r="S35" s="5" t="s">
        <v>133</v>
      </c>
      <c r="T35" s="5" t="s">
        <v>133</v>
      </c>
      <c r="W35" s="11" t="str">
        <f t="shared" si="1"/>
        <v>#VALUE!</v>
      </c>
    </row>
    <row r="36">
      <c r="O36" s="5">
        <v>8.2</v>
      </c>
      <c r="P36" s="5">
        <v>8.5</v>
      </c>
      <c r="Q36" s="5">
        <v>9.3</v>
      </c>
      <c r="R36" s="5">
        <v>10.0</v>
      </c>
      <c r="S36" s="5">
        <v>10.9</v>
      </c>
      <c r="T36" s="5">
        <v>10.2</v>
      </c>
      <c r="U36" s="5">
        <v>10.3</v>
      </c>
      <c r="W36" s="11">
        <f t="shared" si="1"/>
        <v>0.1</v>
      </c>
    </row>
    <row r="37">
      <c r="A37" s="28" t="s">
        <v>89</v>
      </c>
      <c r="W37" s="11">
        <f t="shared" si="1"/>
        <v>0</v>
      </c>
    </row>
    <row r="38">
      <c r="A38" s="5" t="s">
        <v>10</v>
      </c>
      <c r="B38" s="5" t="s">
        <v>11</v>
      </c>
      <c r="C38" s="5" t="s">
        <v>12</v>
      </c>
      <c r="D38" s="5" t="s">
        <v>13</v>
      </c>
      <c r="E38" s="5" t="s">
        <v>14</v>
      </c>
      <c r="F38" s="5" t="s">
        <v>114</v>
      </c>
      <c r="G38" s="5" t="s">
        <v>115</v>
      </c>
      <c r="H38" s="5" t="s">
        <v>116</v>
      </c>
      <c r="I38" s="5" t="s">
        <v>117</v>
      </c>
      <c r="J38" s="5" t="s">
        <v>6</v>
      </c>
      <c r="K38" s="5" t="s">
        <v>7</v>
      </c>
      <c r="L38" s="5" t="s">
        <v>118</v>
      </c>
      <c r="M38" s="5" t="s">
        <v>119</v>
      </c>
      <c r="N38" s="5" t="s">
        <v>120</v>
      </c>
      <c r="O38" s="5" t="s">
        <v>121</v>
      </c>
      <c r="P38" s="5" t="s">
        <v>122</v>
      </c>
      <c r="Q38" s="5" t="s">
        <v>123</v>
      </c>
      <c r="R38" s="5" t="s">
        <v>124</v>
      </c>
      <c r="S38" s="5" t="s">
        <v>125</v>
      </c>
      <c r="T38" s="5" t="s">
        <v>126</v>
      </c>
      <c r="U38" s="8" t="s">
        <v>5</v>
      </c>
      <c r="W38" s="11" t="str">
        <f t="shared" si="1"/>
        <v>#VALUE!</v>
      </c>
    </row>
    <row r="39">
      <c r="A39" s="5" t="s">
        <v>8</v>
      </c>
      <c r="P39" s="5" t="s">
        <v>8</v>
      </c>
      <c r="Q39" s="5"/>
      <c r="R39" s="5"/>
      <c r="S39" s="5"/>
      <c r="T39" s="5"/>
      <c r="W39" s="11">
        <f t="shared" si="1"/>
        <v>0</v>
      </c>
    </row>
    <row r="40">
      <c r="A40" s="5">
        <v>21.5</v>
      </c>
      <c r="B40" s="5">
        <v>20.7</v>
      </c>
      <c r="C40" s="5">
        <v>20.5</v>
      </c>
      <c r="D40" s="5">
        <v>20.2</v>
      </c>
      <c r="E40" s="5">
        <v>18.9</v>
      </c>
      <c r="F40" s="5">
        <v>21.7</v>
      </c>
      <c r="G40" s="5">
        <v>22.2</v>
      </c>
      <c r="H40" s="5">
        <v>23.7</v>
      </c>
      <c r="I40" s="5">
        <v>23.1</v>
      </c>
      <c r="J40" s="5">
        <v>23.3</v>
      </c>
      <c r="K40" s="5">
        <v>23.1</v>
      </c>
      <c r="L40" s="5">
        <v>23.3</v>
      </c>
      <c r="M40" s="5">
        <v>22.7</v>
      </c>
      <c r="N40" s="5">
        <v>23.0</v>
      </c>
      <c r="O40" s="5">
        <v>23.5</v>
      </c>
      <c r="P40" s="5">
        <v>23.1</v>
      </c>
      <c r="Q40" s="5">
        <v>23.3</v>
      </c>
      <c r="R40" s="5">
        <v>22.5</v>
      </c>
      <c r="S40" s="5">
        <v>22.8</v>
      </c>
      <c r="T40" s="5">
        <v>22.7</v>
      </c>
      <c r="U40" s="5">
        <v>22.6</v>
      </c>
      <c r="W40" s="11">
        <f t="shared" si="1"/>
        <v>-0.1</v>
      </c>
    </row>
    <row r="41">
      <c r="A41" s="5" t="s">
        <v>94</v>
      </c>
      <c r="P41" s="5" t="s">
        <v>94</v>
      </c>
      <c r="Q41" s="5"/>
      <c r="R41" s="5"/>
      <c r="S41" s="5"/>
      <c r="T41" s="5"/>
      <c r="W41" s="11">
        <f t="shared" si="1"/>
        <v>0</v>
      </c>
    </row>
    <row r="42">
      <c r="A42" s="5">
        <v>9.6</v>
      </c>
      <c r="B42" s="5">
        <v>6.5</v>
      </c>
      <c r="C42" s="5">
        <v>5.9</v>
      </c>
      <c r="D42" s="5">
        <v>7.0</v>
      </c>
      <c r="E42" s="5">
        <v>13.4</v>
      </c>
      <c r="F42" s="5">
        <v>6.5</v>
      </c>
      <c r="G42" s="5">
        <v>5.5</v>
      </c>
      <c r="H42" s="5">
        <v>6.7</v>
      </c>
      <c r="I42" s="5">
        <v>7.0</v>
      </c>
      <c r="J42" s="5">
        <v>6.4</v>
      </c>
      <c r="K42" s="5">
        <v>7.1</v>
      </c>
      <c r="L42" s="5">
        <v>7.2</v>
      </c>
      <c r="M42" s="5">
        <v>6.8</v>
      </c>
      <c r="N42" s="5">
        <v>6.9</v>
      </c>
      <c r="O42" s="5">
        <v>7.9</v>
      </c>
      <c r="P42" s="5">
        <v>7.4</v>
      </c>
      <c r="Q42" s="5">
        <v>7.6</v>
      </c>
      <c r="R42" s="5">
        <v>7.9</v>
      </c>
      <c r="S42" s="5">
        <v>7.9</v>
      </c>
      <c r="T42" s="5">
        <v>8.0</v>
      </c>
      <c r="U42" s="5">
        <v>7.9</v>
      </c>
      <c r="W42" s="11">
        <f t="shared" si="1"/>
        <v>-0.1</v>
      </c>
    </row>
    <row r="43">
      <c r="A43" s="5" t="s">
        <v>23</v>
      </c>
      <c r="P43" s="5" t="s">
        <v>23</v>
      </c>
      <c r="Q43" s="5"/>
      <c r="R43" s="5"/>
      <c r="S43" s="5"/>
      <c r="T43" s="5"/>
      <c r="W43" s="11">
        <f t="shared" si="1"/>
        <v>0</v>
      </c>
    </row>
    <row r="44">
      <c r="A44" s="5">
        <v>8.3</v>
      </c>
      <c r="B44" s="5">
        <v>7.5</v>
      </c>
      <c r="C44" s="5">
        <v>7.6</v>
      </c>
      <c r="D44" s="5">
        <v>7.4</v>
      </c>
      <c r="E44" s="5">
        <v>7.2</v>
      </c>
      <c r="F44" s="5">
        <v>8.0</v>
      </c>
      <c r="G44" s="5">
        <v>9.1</v>
      </c>
      <c r="H44" s="5">
        <v>9.3</v>
      </c>
      <c r="I44" s="5">
        <v>9.1</v>
      </c>
      <c r="J44" s="5">
        <v>9.0</v>
      </c>
      <c r="K44" s="5">
        <v>9.5</v>
      </c>
      <c r="L44" s="5">
        <v>9.4</v>
      </c>
      <c r="M44" s="5">
        <v>9.6</v>
      </c>
      <c r="N44" s="5">
        <v>9.6</v>
      </c>
      <c r="O44" s="5">
        <v>9.1</v>
      </c>
      <c r="P44" s="5">
        <v>9.4</v>
      </c>
      <c r="Q44" s="5">
        <v>8.9</v>
      </c>
      <c r="R44" s="5">
        <v>8.9</v>
      </c>
      <c r="S44" s="5">
        <v>9.0</v>
      </c>
      <c r="T44" s="5">
        <v>9.4</v>
      </c>
      <c r="U44" s="5">
        <v>9.2</v>
      </c>
      <c r="W44" s="11">
        <f t="shared" si="1"/>
        <v>-0.2</v>
      </c>
    </row>
    <row r="45">
      <c r="A45" s="5" t="s">
        <v>25</v>
      </c>
      <c r="P45" s="5" t="s">
        <v>25</v>
      </c>
      <c r="Q45" s="5"/>
      <c r="R45" s="5"/>
      <c r="S45" s="5"/>
      <c r="T45" s="5"/>
      <c r="W45" s="11">
        <f t="shared" si="1"/>
        <v>0</v>
      </c>
    </row>
    <row r="46">
      <c r="A46" s="5">
        <v>6.4</v>
      </c>
      <c r="B46" s="5">
        <v>5.0</v>
      </c>
      <c r="C46" s="5">
        <v>5.0</v>
      </c>
      <c r="D46" s="5">
        <v>5.4</v>
      </c>
      <c r="E46" s="5">
        <v>5.0</v>
      </c>
      <c r="F46" s="5">
        <v>5.3</v>
      </c>
      <c r="G46" s="5">
        <v>5.0</v>
      </c>
      <c r="H46" s="5">
        <v>5.7</v>
      </c>
      <c r="I46" s="5">
        <v>5.6</v>
      </c>
      <c r="J46" s="5">
        <v>5.4</v>
      </c>
      <c r="K46" s="5">
        <v>5.6</v>
      </c>
      <c r="L46" s="5">
        <v>6.3</v>
      </c>
      <c r="M46" s="5">
        <v>5.9</v>
      </c>
      <c r="N46" s="5">
        <v>6.1</v>
      </c>
      <c r="O46" s="5">
        <v>5.6</v>
      </c>
      <c r="P46" s="5">
        <v>6.3</v>
      </c>
      <c r="Q46" s="5">
        <v>6.6</v>
      </c>
      <c r="R46" s="5">
        <v>5.8</v>
      </c>
      <c r="S46" s="5">
        <v>6.0</v>
      </c>
      <c r="T46" s="5">
        <v>6.1</v>
      </c>
      <c r="U46" s="5">
        <v>5.7</v>
      </c>
      <c r="W46" s="11">
        <f t="shared" si="1"/>
        <v>-0.4</v>
      </c>
    </row>
    <row r="47">
      <c r="A47" s="5" t="s">
        <v>26</v>
      </c>
      <c r="P47" s="5" t="s">
        <v>26</v>
      </c>
      <c r="Q47" s="5"/>
      <c r="R47" s="5"/>
      <c r="S47" s="5"/>
      <c r="T47" s="5"/>
      <c r="W47" s="11">
        <f t="shared" si="1"/>
        <v>0</v>
      </c>
    </row>
    <row r="48">
      <c r="A48" s="5">
        <v>5.8</v>
      </c>
      <c r="B48" s="5">
        <v>5.1</v>
      </c>
      <c r="C48" s="5">
        <v>5.0</v>
      </c>
      <c r="D48" s="5">
        <v>4.7</v>
      </c>
      <c r="E48" s="5">
        <v>5.0</v>
      </c>
      <c r="F48" s="5">
        <v>5.2</v>
      </c>
      <c r="G48" s="5">
        <v>5.0</v>
      </c>
      <c r="H48" s="5">
        <v>5.5</v>
      </c>
      <c r="I48" s="5">
        <v>6.1</v>
      </c>
      <c r="J48" s="5">
        <v>6.1</v>
      </c>
      <c r="K48" s="5">
        <v>6.5</v>
      </c>
      <c r="L48" s="5">
        <v>5.9</v>
      </c>
      <c r="M48" s="5">
        <v>6.0</v>
      </c>
      <c r="N48" s="5">
        <v>5.4</v>
      </c>
      <c r="O48" s="5">
        <v>5.4</v>
      </c>
      <c r="P48" s="5">
        <v>5.1</v>
      </c>
      <c r="Q48" s="5">
        <v>5.7</v>
      </c>
      <c r="R48" s="5">
        <v>5.3</v>
      </c>
      <c r="S48" s="5">
        <v>5.0</v>
      </c>
      <c r="T48" s="5">
        <v>4.9</v>
      </c>
      <c r="U48" s="5">
        <v>5.2</v>
      </c>
      <c r="W48" s="11">
        <f t="shared" si="1"/>
        <v>0.3</v>
      </c>
      <c r="AB48" s="40"/>
    </row>
    <row r="49">
      <c r="A49" s="5" t="s">
        <v>27</v>
      </c>
      <c r="P49" s="5" t="s">
        <v>27</v>
      </c>
      <c r="Q49" s="5"/>
      <c r="R49" s="5"/>
      <c r="S49" s="5"/>
      <c r="T49" s="5"/>
      <c r="W49" s="11">
        <f t="shared" si="1"/>
        <v>0</v>
      </c>
      <c r="AB49" s="40"/>
    </row>
    <row r="50">
      <c r="A50" s="5">
        <v>5.2</v>
      </c>
      <c r="B50" s="5">
        <v>4.5</v>
      </c>
      <c r="C50" s="5">
        <v>4.7</v>
      </c>
      <c r="D50" s="5">
        <v>4.4</v>
      </c>
      <c r="E50" s="5">
        <v>4.1</v>
      </c>
      <c r="F50" s="5">
        <v>4.0</v>
      </c>
      <c r="G50" s="5">
        <v>4.5</v>
      </c>
      <c r="H50" s="5">
        <v>4.9</v>
      </c>
      <c r="I50" s="5">
        <v>4.6</v>
      </c>
      <c r="J50" s="5">
        <v>5.2</v>
      </c>
      <c r="K50" s="5">
        <v>4.6</v>
      </c>
      <c r="L50" s="5">
        <v>4.4</v>
      </c>
      <c r="M50" s="5">
        <v>5.4</v>
      </c>
      <c r="N50" s="5">
        <v>5.3</v>
      </c>
      <c r="O50" s="5">
        <v>4.9</v>
      </c>
      <c r="P50" s="5">
        <v>4.8</v>
      </c>
      <c r="Q50" s="5">
        <v>5.0</v>
      </c>
      <c r="R50" s="5">
        <v>5.2</v>
      </c>
      <c r="S50" s="5">
        <v>5.8</v>
      </c>
      <c r="T50" s="5">
        <v>5.3</v>
      </c>
      <c r="U50" s="5">
        <v>5.0</v>
      </c>
      <c r="W50" s="11">
        <f t="shared" si="1"/>
        <v>-0.3</v>
      </c>
      <c r="AB50" s="40"/>
    </row>
    <row r="51">
      <c r="A51" s="5" t="s">
        <v>37</v>
      </c>
      <c r="P51" s="5" t="s">
        <v>37</v>
      </c>
      <c r="Q51" s="5"/>
      <c r="R51" s="5"/>
      <c r="S51" s="5"/>
      <c r="T51" s="5"/>
      <c r="W51" s="11">
        <f t="shared" si="1"/>
        <v>0</v>
      </c>
    </row>
    <row r="52">
      <c r="A52" s="5">
        <v>4.4</v>
      </c>
      <c r="B52" s="5">
        <v>4.9</v>
      </c>
      <c r="C52" s="5">
        <v>5.0</v>
      </c>
      <c r="D52" s="5">
        <v>5.3</v>
      </c>
      <c r="E52" s="5">
        <v>4.9</v>
      </c>
      <c r="F52" s="5">
        <v>5.3</v>
      </c>
      <c r="G52" s="5">
        <v>5.2</v>
      </c>
      <c r="H52" s="5">
        <v>5.5</v>
      </c>
      <c r="I52" s="5">
        <v>5.0</v>
      </c>
      <c r="J52" s="5">
        <v>5.2</v>
      </c>
      <c r="K52" s="5">
        <v>4.9</v>
      </c>
      <c r="L52" s="5">
        <v>4.7</v>
      </c>
      <c r="M52" s="5">
        <v>5.0</v>
      </c>
      <c r="N52" s="5">
        <v>5.6</v>
      </c>
      <c r="O52" s="5">
        <v>4.7</v>
      </c>
      <c r="P52" s="5">
        <v>5.1</v>
      </c>
      <c r="Q52" s="5">
        <v>5.2</v>
      </c>
      <c r="R52" s="5">
        <v>4.8</v>
      </c>
      <c r="S52" s="5">
        <v>4.7</v>
      </c>
      <c r="T52" s="5">
        <v>4.6</v>
      </c>
      <c r="U52" s="5">
        <v>5.2</v>
      </c>
      <c r="W52" s="11">
        <f t="shared" si="1"/>
        <v>0.6</v>
      </c>
    </row>
    <row r="53">
      <c r="A53" s="5" t="s">
        <v>36</v>
      </c>
      <c r="P53" s="5" t="s">
        <v>36</v>
      </c>
      <c r="Q53" s="5"/>
      <c r="R53" s="5"/>
      <c r="S53" s="5"/>
      <c r="T53" s="5"/>
      <c r="W53" s="11">
        <f t="shared" si="1"/>
        <v>0</v>
      </c>
    </row>
    <row r="54">
      <c r="A54" s="5">
        <v>4.1</v>
      </c>
      <c r="B54" s="5">
        <v>3.7</v>
      </c>
      <c r="C54" s="5">
        <v>3.6</v>
      </c>
      <c r="D54" s="5">
        <v>3.7</v>
      </c>
      <c r="E54" s="5">
        <v>3.6</v>
      </c>
      <c r="F54" s="5">
        <v>4.0</v>
      </c>
      <c r="G54" s="5">
        <v>4.2</v>
      </c>
      <c r="H54" s="5">
        <v>5.0</v>
      </c>
      <c r="I54" s="5">
        <v>4.6</v>
      </c>
      <c r="J54" s="5">
        <v>5.0</v>
      </c>
      <c r="K54" s="5">
        <v>4.9</v>
      </c>
      <c r="L54" s="5">
        <v>4.7</v>
      </c>
      <c r="M54" s="5">
        <v>5.3</v>
      </c>
      <c r="N54" s="5">
        <v>4.6</v>
      </c>
      <c r="O54" s="5">
        <v>4.5</v>
      </c>
      <c r="P54" s="5">
        <v>4.7</v>
      </c>
      <c r="Q54" s="5">
        <v>4.6</v>
      </c>
      <c r="R54" s="5">
        <v>4.5</v>
      </c>
      <c r="S54" s="5">
        <v>4.6</v>
      </c>
      <c r="T54" s="5">
        <v>5.2</v>
      </c>
      <c r="U54" s="5">
        <v>5.2</v>
      </c>
      <c r="W54" s="11">
        <f t="shared" si="1"/>
        <v>0</v>
      </c>
    </row>
    <row r="55">
      <c r="A55" s="5" t="s">
        <v>29</v>
      </c>
      <c r="P55" s="5" t="s">
        <v>29</v>
      </c>
      <c r="Q55" s="5"/>
      <c r="R55" s="5"/>
      <c r="S55" s="5"/>
      <c r="T55" s="5"/>
      <c r="W55" s="11">
        <f t="shared" si="1"/>
        <v>0</v>
      </c>
    </row>
    <row r="56">
      <c r="A56" s="5">
        <v>4.5</v>
      </c>
      <c r="B56" s="5">
        <v>3.6</v>
      </c>
      <c r="C56" s="5">
        <v>3.5</v>
      </c>
      <c r="D56" s="5">
        <v>3.6</v>
      </c>
      <c r="E56" s="5">
        <v>3.9</v>
      </c>
      <c r="F56" s="5">
        <v>4.3</v>
      </c>
      <c r="G56" s="5">
        <v>4.8</v>
      </c>
      <c r="H56" s="5">
        <v>5.4</v>
      </c>
      <c r="I56" s="5">
        <v>5.5</v>
      </c>
      <c r="J56" s="5">
        <v>6.3</v>
      </c>
      <c r="K56" s="5">
        <v>5.0</v>
      </c>
      <c r="L56" s="5">
        <v>4.9</v>
      </c>
      <c r="M56" s="5">
        <v>4.9</v>
      </c>
      <c r="N56" s="5">
        <v>5.3</v>
      </c>
      <c r="O56" s="5">
        <v>5.4</v>
      </c>
      <c r="P56" s="5">
        <v>5.2</v>
      </c>
      <c r="Q56" s="5">
        <v>5.0</v>
      </c>
      <c r="R56" s="5">
        <v>5.3</v>
      </c>
      <c r="S56" s="5">
        <v>5.2</v>
      </c>
      <c r="T56" s="5">
        <v>4.7</v>
      </c>
      <c r="U56" s="5">
        <v>4.8</v>
      </c>
      <c r="W56" s="11">
        <f t="shared" si="1"/>
        <v>0.1</v>
      </c>
    </row>
    <row r="57">
      <c r="A57" s="5" t="s">
        <v>31</v>
      </c>
      <c r="P57" s="5" t="s">
        <v>31</v>
      </c>
      <c r="Q57" s="5"/>
      <c r="R57" s="5"/>
      <c r="S57" s="5"/>
      <c r="T57" s="5"/>
      <c r="W57" s="11">
        <f t="shared" si="1"/>
        <v>0</v>
      </c>
    </row>
    <row r="58">
      <c r="A58" s="5">
        <v>3.4</v>
      </c>
      <c r="B58" s="5">
        <v>3.1</v>
      </c>
      <c r="C58" s="5">
        <v>3.0</v>
      </c>
      <c r="D58" s="5">
        <v>3.0</v>
      </c>
      <c r="E58" s="5">
        <v>3.0</v>
      </c>
      <c r="F58" s="5">
        <v>3.1</v>
      </c>
      <c r="G58" s="5">
        <v>3.3</v>
      </c>
      <c r="H58" s="5">
        <v>3.4</v>
      </c>
      <c r="I58" s="5">
        <v>3.9</v>
      </c>
      <c r="J58" s="5">
        <v>3.5</v>
      </c>
      <c r="K58" s="5">
        <v>3.8</v>
      </c>
      <c r="L58" s="5">
        <v>3.7</v>
      </c>
      <c r="M58" s="5">
        <v>4.1</v>
      </c>
      <c r="N58" s="5">
        <v>4.3</v>
      </c>
      <c r="O58" s="5">
        <v>3.6</v>
      </c>
      <c r="P58" s="5">
        <v>3.5</v>
      </c>
      <c r="Q58" s="5">
        <v>4.0</v>
      </c>
      <c r="R58" s="5">
        <v>4.1</v>
      </c>
      <c r="S58" s="5">
        <v>4.8</v>
      </c>
      <c r="T58" s="5">
        <v>4.1</v>
      </c>
      <c r="U58" s="5">
        <v>3.9</v>
      </c>
      <c r="W58" s="11">
        <f t="shared" si="1"/>
        <v>-0.2</v>
      </c>
    </row>
    <row r="59">
      <c r="W59" s="11">
        <f t="shared" si="1"/>
        <v>0</v>
      </c>
    </row>
    <row r="60">
      <c r="A60" s="28" t="s">
        <v>95</v>
      </c>
      <c r="W60" s="11">
        <f t="shared" si="1"/>
        <v>0</v>
      </c>
    </row>
    <row r="61">
      <c r="A61" s="5" t="s">
        <v>10</v>
      </c>
      <c r="B61" s="5" t="s">
        <v>11</v>
      </c>
      <c r="C61" s="5" t="s">
        <v>12</v>
      </c>
      <c r="D61" s="5" t="s">
        <v>13</v>
      </c>
      <c r="E61" s="5" t="s">
        <v>14</v>
      </c>
      <c r="F61" s="5" t="s">
        <v>114</v>
      </c>
      <c r="G61" s="5" t="s">
        <v>115</v>
      </c>
      <c r="H61" s="5" t="s">
        <v>116</v>
      </c>
      <c r="I61" s="5" t="s">
        <v>117</v>
      </c>
      <c r="J61" s="5" t="s">
        <v>6</v>
      </c>
      <c r="K61" s="5" t="s">
        <v>7</v>
      </c>
      <c r="L61" s="5" t="s">
        <v>118</v>
      </c>
      <c r="M61" s="5" t="s">
        <v>119</v>
      </c>
      <c r="N61" s="5" t="s">
        <v>120</v>
      </c>
      <c r="O61" s="5" t="s">
        <v>121</v>
      </c>
      <c r="P61" s="5" t="s">
        <v>122</v>
      </c>
      <c r="Q61" s="5" t="s">
        <v>123</v>
      </c>
      <c r="R61" s="5" t="s">
        <v>124</v>
      </c>
      <c r="S61" s="5" t="s">
        <v>125</v>
      </c>
      <c r="T61" s="5" t="s">
        <v>126</v>
      </c>
      <c r="U61" s="8" t="s">
        <v>5</v>
      </c>
      <c r="W61" s="11" t="str">
        <f t="shared" si="1"/>
        <v>#VALUE!</v>
      </c>
    </row>
    <row r="62">
      <c r="A62" s="5" t="s">
        <v>96</v>
      </c>
      <c r="B62" s="5" t="s">
        <v>96</v>
      </c>
      <c r="C62" s="5" t="s">
        <v>96</v>
      </c>
      <c r="D62" s="5" t="s">
        <v>96</v>
      </c>
      <c r="E62" s="5" t="s">
        <v>96</v>
      </c>
      <c r="L62" s="5" t="s">
        <v>96</v>
      </c>
      <c r="W62" s="11">
        <f t="shared" si="1"/>
        <v>0</v>
      </c>
    </row>
    <row r="63">
      <c r="A63" s="5">
        <v>33.33</v>
      </c>
      <c r="B63" s="5">
        <v>8.33</v>
      </c>
      <c r="C63" s="5">
        <v>52.0</v>
      </c>
      <c r="D63" s="5">
        <v>50.0</v>
      </c>
      <c r="E63" s="5">
        <v>32.3</v>
      </c>
      <c r="F63" s="5">
        <v>31.9</v>
      </c>
      <c r="G63" s="5" t="s">
        <v>151</v>
      </c>
      <c r="H63" s="5" t="s">
        <v>151</v>
      </c>
      <c r="I63" s="5" t="s">
        <v>151</v>
      </c>
      <c r="J63" s="5">
        <v>36.2</v>
      </c>
      <c r="K63" s="5">
        <v>55.5</v>
      </c>
      <c r="L63" s="5">
        <v>20.0</v>
      </c>
      <c r="M63" s="5" t="s">
        <v>151</v>
      </c>
      <c r="N63" s="5"/>
      <c r="W63" s="11">
        <f t="shared" si="1"/>
        <v>0</v>
      </c>
    </row>
    <row r="64">
      <c r="A64" s="5" t="s">
        <v>97</v>
      </c>
      <c r="B64" s="5" t="s">
        <v>97</v>
      </c>
      <c r="C64" s="5" t="s">
        <v>97</v>
      </c>
      <c r="D64" s="5" t="s">
        <v>97</v>
      </c>
      <c r="E64" s="5" t="s">
        <v>97</v>
      </c>
      <c r="L64" s="5" t="s">
        <v>97</v>
      </c>
      <c r="W64" s="11">
        <f t="shared" si="1"/>
        <v>0</v>
      </c>
    </row>
    <row r="65">
      <c r="A65" s="5">
        <v>50.86</v>
      </c>
      <c r="B65" s="5">
        <v>36.07</v>
      </c>
      <c r="C65" s="5">
        <v>40.19</v>
      </c>
      <c r="D65" s="5">
        <v>29.53</v>
      </c>
      <c r="E65" s="5">
        <v>41.1</v>
      </c>
      <c r="F65" s="5">
        <v>45.5</v>
      </c>
      <c r="G65" s="5">
        <v>61.0</v>
      </c>
      <c r="H65" s="5">
        <v>66.8</v>
      </c>
      <c r="I65" s="5">
        <v>59.4</v>
      </c>
      <c r="J65" s="5">
        <v>49.8</v>
      </c>
      <c r="K65" s="5">
        <v>26.3</v>
      </c>
      <c r="L65" s="5">
        <v>15.8</v>
      </c>
      <c r="M65" s="5">
        <v>68.7</v>
      </c>
      <c r="N65" s="5" t="s">
        <v>151</v>
      </c>
      <c r="W65" s="11">
        <f t="shared" si="1"/>
        <v>0</v>
      </c>
    </row>
    <row r="66">
      <c r="A66" s="5" t="s">
        <v>98</v>
      </c>
      <c r="B66" s="5" t="s">
        <v>98</v>
      </c>
      <c r="C66" s="5" t="s">
        <v>98</v>
      </c>
      <c r="D66" s="5" t="s">
        <v>98</v>
      </c>
      <c r="E66" s="5" t="s">
        <v>98</v>
      </c>
      <c r="L66" s="5" t="s">
        <v>98</v>
      </c>
      <c r="T66" s="5" t="s">
        <v>98</v>
      </c>
      <c r="W66" s="11" t="str">
        <f t="shared" si="1"/>
        <v>#VALUE!</v>
      </c>
    </row>
    <row r="67">
      <c r="A67" s="5">
        <v>68.14</v>
      </c>
      <c r="B67" s="5">
        <v>58.76</v>
      </c>
      <c r="C67" s="5">
        <v>63.71</v>
      </c>
      <c r="D67" s="5">
        <v>61.62</v>
      </c>
      <c r="E67" s="5">
        <v>58.9</v>
      </c>
      <c r="F67" s="5">
        <v>57.9</v>
      </c>
      <c r="G67" s="5">
        <v>63.5</v>
      </c>
      <c r="H67" s="5">
        <v>50.3</v>
      </c>
      <c r="I67" s="5">
        <v>51.3</v>
      </c>
      <c r="J67" s="5">
        <v>55.2</v>
      </c>
      <c r="K67" s="5">
        <v>44.0</v>
      </c>
      <c r="L67" s="5">
        <v>44.5</v>
      </c>
      <c r="M67" s="5">
        <v>53.5</v>
      </c>
      <c r="N67" s="5">
        <v>54.97</v>
      </c>
      <c r="O67" s="5">
        <v>60.88</v>
      </c>
      <c r="P67" s="5">
        <v>62.07</v>
      </c>
      <c r="Q67" s="5">
        <v>61.54</v>
      </c>
      <c r="R67" s="5">
        <v>62.79</v>
      </c>
      <c r="S67" s="5">
        <v>59.61</v>
      </c>
      <c r="T67" s="5">
        <v>58.96</v>
      </c>
      <c r="U67" s="5">
        <v>59.04</v>
      </c>
      <c r="W67" s="11">
        <f t="shared" si="1"/>
        <v>0.08</v>
      </c>
    </row>
    <row r="68">
      <c r="A68" s="5" t="s">
        <v>99</v>
      </c>
      <c r="B68" s="5" t="s">
        <v>99</v>
      </c>
      <c r="C68" s="5" t="s">
        <v>99</v>
      </c>
      <c r="D68" s="5" t="s">
        <v>99</v>
      </c>
      <c r="E68" s="5" t="s">
        <v>99</v>
      </c>
      <c r="L68" s="5" t="s">
        <v>99</v>
      </c>
      <c r="T68" s="5" t="s">
        <v>99</v>
      </c>
      <c r="W68" s="11" t="str">
        <f t="shared" si="1"/>
        <v>#VALUE!</v>
      </c>
    </row>
    <row r="69">
      <c r="A69" s="5">
        <v>66.68</v>
      </c>
      <c r="B69" s="5">
        <v>56.14</v>
      </c>
      <c r="C69" s="5">
        <v>61.49</v>
      </c>
      <c r="D69" s="5">
        <v>56.96</v>
      </c>
      <c r="E69" s="5">
        <v>49.0</v>
      </c>
      <c r="F69" s="5">
        <v>47.7</v>
      </c>
      <c r="G69" s="5">
        <v>67.4</v>
      </c>
      <c r="H69" s="5">
        <v>54.5</v>
      </c>
      <c r="I69" s="5">
        <v>54.2</v>
      </c>
      <c r="J69" s="5">
        <v>53.5</v>
      </c>
      <c r="K69" s="5">
        <v>53.1</v>
      </c>
      <c r="L69" s="5">
        <v>47.2</v>
      </c>
      <c r="M69" s="5">
        <v>54.2</v>
      </c>
      <c r="N69" s="5">
        <v>57.07</v>
      </c>
      <c r="O69" s="5">
        <v>58.57</v>
      </c>
      <c r="P69" s="5">
        <v>59.55</v>
      </c>
      <c r="Q69" s="5">
        <v>60.67</v>
      </c>
      <c r="R69" s="5">
        <v>54.11</v>
      </c>
      <c r="S69" s="5">
        <v>56.59</v>
      </c>
      <c r="T69" s="5">
        <v>55.87</v>
      </c>
      <c r="U69" s="5">
        <v>55.75</v>
      </c>
      <c r="W69" s="11">
        <f t="shared" si="1"/>
        <v>-0.12</v>
      </c>
    </row>
    <row r="70">
      <c r="A70" s="5" t="s">
        <v>100</v>
      </c>
      <c r="B70" s="5" t="s">
        <v>100</v>
      </c>
      <c r="C70" s="5" t="s">
        <v>100</v>
      </c>
      <c r="D70" s="5" t="s">
        <v>100</v>
      </c>
      <c r="E70" s="5" t="s">
        <v>100</v>
      </c>
      <c r="L70" s="5" t="s">
        <v>100</v>
      </c>
      <c r="T70" s="5" t="s">
        <v>100</v>
      </c>
      <c r="W70" s="11" t="str">
        <f t="shared" si="1"/>
        <v>#VALUE!</v>
      </c>
    </row>
    <row r="71">
      <c r="A71" s="5">
        <v>73.18</v>
      </c>
      <c r="B71" s="5">
        <v>64.39</v>
      </c>
      <c r="C71" s="5">
        <v>71.83</v>
      </c>
      <c r="D71" s="5">
        <v>65.02</v>
      </c>
      <c r="E71" s="5">
        <v>64.1</v>
      </c>
      <c r="F71" s="5">
        <v>63.7</v>
      </c>
      <c r="G71" s="5">
        <v>76.1</v>
      </c>
      <c r="H71" s="5">
        <v>61.5</v>
      </c>
      <c r="I71" s="5">
        <v>62.1</v>
      </c>
      <c r="J71" s="5">
        <v>60.6</v>
      </c>
      <c r="K71" s="5">
        <v>56.8</v>
      </c>
      <c r="L71" s="5">
        <v>49.9</v>
      </c>
      <c r="M71" s="5">
        <v>59.6</v>
      </c>
      <c r="N71" s="5">
        <v>58.25</v>
      </c>
      <c r="O71" s="5">
        <v>62.8</v>
      </c>
      <c r="P71" s="5">
        <v>61.52</v>
      </c>
      <c r="Q71" s="5">
        <v>65.57</v>
      </c>
      <c r="R71" s="5">
        <v>67.37</v>
      </c>
      <c r="S71" s="5">
        <v>65.11</v>
      </c>
      <c r="T71" s="5">
        <v>64.29</v>
      </c>
      <c r="U71" s="5">
        <v>63.7</v>
      </c>
      <c r="W71" s="11">
        <f t="shared" si="1"/>
        <v>-0.59</v>
      </c>
    </row>
    <row r="72">
      <c r="A72" s="5" t="s">
        <v>101</v>
      </c>
      <c r="B72" s="5" t="s">
        <v>101</v>
      </c>
      <c r="C72" s="5" t="s">
        <v>101</v>
      </c>
      <c r="D72" s="5" t="s">
        <v>101</v>
      </c>
      <c r="E72" s="5" t="s">
        <v>101</v>
      </c>
      <c r="L72" s="5" t="s">
        <v>101</v>
      </c>
      <c r="T72" s="5" t="s">
        <v>101</v>
      </c>
      <c r="W72" s="11" t="str">
        <f t="shared" si="1"/>
        <v>#VALUE!</v>
      </c>
    </row>
    <row r="73">
      <c r="A73" s="5">
        <v>80.25</v>
      </c>
      <c r="B73" s="5">
        <v>71.86</v>
      </c>
      <c r="C73" s="5">
        <v>74.68</v>
      </c>
      <c r="D73" s="5">
        <v>70.15</v>
      </c>
      <c r="E73" s="5">
        <v>65.7</v>
      </c>
      <c r="F73" s="5">
        <v>66.3</v>
      </c>
      <c r="G73" s="5">
        <v>78.3</v>
      </c>
      <c r="H73" s="5">
        <v>64.1</v>
      </c>
      <c r="I73" s="5">
        <v>61.9</v>
      </c>
      <c r="J73" s="22">
        <v>57.0</v>
      </c>
      <c r="K73" s="5">
        <v>55.6</v>
      </c>
      <c r="L73" s="5">
        <v>60.28</v>
      </c>
      <c r="M73" s="5">
        <v>64.9</v>
      </c>
      <c r="N73" s="5">
        <v>62.19</v>
      </c>
      <c r="O73" s="5">
        <v>67.59</v>
      </c>
      <c r="P73" s="5">
        <v>68.81</v>
      </c>
      <c r="Q73" s="5">
        <v>69.21</v>
      </c>
      <c r="R73" s="5">
        <v>70.48</v>
      </c>
      <c r="S73" s="5">
        <v>67.8</v>
      </c>
      <c r="T73" s="5">
        <v>66.77</v>
      </c>
      <c r="U73" s="5">
        <v>69.33</v>
      </c>
      <c r="W73" s="11">
        <f t="shared" si="1"/>
        <v>2.56</v>
      </c>
    </row>
    <row r="74">
      <c r="W74" s="11">
        <f t="shared" si="1"/>
        <v>0</v>
      </c>
    </row>
    <row r="75">
      <c r="A75" s="3" t="s">
        <v>159</v>
      </c>
      <c r="C75" s="53" t="s">
        <v>160</v>
      </c>
      <c r="W75" s="11">
        <f t="shared" si="1"/>
        <v>0</v>
      </c>
    </row>
    <row r="76">
      <c r="A76" s="5" t="s">
        <v>161</v>
      </c>
      <c r="W76" s="11">
        <f t="shared" si="1"/>
        <v>0</v>
      </c>
    </row>
    <row r="77">
      <c r="A77" s="5">
        <v>52.2</v>
      </c>
      <c r="B77" s="5">
        <v>50.7</v>
      </c>
      <c r="C77" s="5">
        <v>50.6</v>
      </c>
      <c r="D77" s="5">
        <v>50.3</v>
      </c>
      <c r="E77" s="5">
        <v>41.1</v>
      </c>
      <c r="F77" s="5">
        <v>42.5</v>
      </c>
      <c r="W77" s="11">
        <f t="shared" si="1"/>
        <v>0</v>
      </c>
    </row>
    <row r="78">
      <c r="A78" s="5" t="s">
        <v>162</v>
      </c>
      <c r="W78" s="11">
        <f t="shared" si="1"/>
        <v>0</v>
      </c>
    </row>
    <row r="79">
      <c r="A79" s="5">
        <v>39.8</v>
      </c>
      <c r="B79" s="5">
        <v>40.4</v>
      </c>
      <c r="C79" s="5">
        <v>40.7</v>
      </c>
      <c r="D79" s="5">
        <v>40.0</v>
      </c>
      <c r="E79" s="5">
        <v>43.1</v>
      </c>
      <c r="F79" s="5">
        <v>42.2</v>
      </c>
      <c r="W79" s="11">
        <f t="shared" si="1"/>
        <v>0</v>
      </c>
    </row>
    <row r="80">
      <c r="A80" s="5" t="s">
        <v>163</v>
      </c>
      <c r="W80" s="11">
        <f t="shared" si="1"/>
        <v>0</v>
      </c>
    </row>
    <row r="81">
      <c r="A81" s="5">
        <v>7.9</v>
      </c>
      <c r="B81" s="11">
        <f t="shared" ref="B81:E81" si="2">100-B79-B77</f>
        <v>8.9</v>
      </c>
      <c r="C81" s="11">
        <f t="shared" si="2"/>
        <v>8.7</v>
      </c>
      <c r="D81" s="11">
        <f t="shared" si="2"/>
        <v>9.7</v>
      </c>
      <c r="E81" s="11">
        <f t="shared" si="2"/>
        <v>15.8</v>
      </c>
      <c r="F81" s="5">
        <v>15.3</v>
      </c>
      <c r="W81" s="11">
        <f t="shared" si="1"/>
        <v>0</v>
      </c>
    </row>
    <row r="82">
      <c r="W82" s="11">
        <f t="shared" si="1"/>
        <v>0</v>
      </c>
    </row>
    <row r="83">
      <c r="A83" s="3" t="s">
        <v>102</v>
      </c>
      <c r="W83" s="11">
        <f t="shared" si="1"/>
        <v>0</v>
      </c>
    </row>
    <row r="84">
      <c r="A84" s="5" t="s">
        <v>119</v>
      </c>
      <c r="B84" s="5" t="s">
        <v>120</v>
      </c>
      <c r="C84" s="5" t="s">
        <v>121</v>
      </c>
      <c r="D84" s="5" t="s">
        <v>13</v>
      </c>
      <c r="E84" s="5" t="s">
        <v>14</v>
      </c>
      <c r="F84" s="5" t="s">
        <v>114</v>
      </c>
      <c r="G84" s="5" t="s">
        <v>115</v>
      </c>
      <c r="H84" s="5" t="s">
        <v>116</v>
      </c>
      <c r="I84" s="5" t="s">
        <v>117</v>
      </c>
      <c r="J84" s="5" t="s">
        <v>6</v>
      </c>
      <c r="K84" s="5" t="s">
        <v>7</v>
      </c>
      <c r="L84" s="5" t="s">
        <v>118</v>
      </c>
      <c r="M84" s="5" t="s">
        <v>119</v>
      </c>
      <c r="N84" s="5" t="s">
        <v>120</v>
      </c>
      <c r="O84" s="5" t="s">
        <v>121</v>
      </c>
      <c r="P84" s="5" t="s">
        <v>122</v>
      </c>
      <c r="Q84" s="5" t="s">
        <v>123</v>
      </c>
      <c r="R84" s="5" t="s">
        <v>124</v>
      </c>
      <c r="S84" s="5" t="s">
        <v>125</v>
      </c>
      <c r="T84" s="5" t="s">
        <v>126</v>
      </c>
      <c r="U84" s="8" t="s">
        <v>5</v>
      </c>
      <c r="W84" s="11" t="str">
        <f t="shared" si="1"/>
        <v>#VALUE!</v>
      </c>
    </row>
    <row r="85">
      <c r="A85" s="5" t="s">
        <v>103</v>
      </c>
      <c r="L85" s="5" t="s">
        <v>103</v>
      </c>
      <c r="T85" s="5" t="s">
        <v>103</v>
      </c>
      <c r="W85" s="11" t="str">
        <f t="shared" si="1"/>
        <v>#VALUE!</v>
      </c>
    </row>
    <row r="86">
      <c r="A86" s="5">
        <v>28.1</v>
      </c>
      <c r="B86" s="5">
        <v>30.9</v>
      </c>
      <c r="C86" s="5">
        <v>29.8</v>
      </c>
      <c r="D86" s="5">
        <v>27.7</v>
      </c>
      <c r="E86" s="5">
        <v>60.3</v>
      </c>
      <c r="F86" s="5">
        <v>58.3</v>
      </c>
      <c r="G86" s="5">
        <v>22.0</v>
      </c>
      <c r="H86" s="5">
        <v>20.3</v>
      </c>
      <c r="I86" s="5">
        <v>17.9</v>
      </c>
      <c r="J86" s="5">
        <v>37.4</v>
      </c>
      <c r="K86" s="5">
        <v>28.2</v>
      </c>
      <c r="L86" s="5">
        <v>28.0</v>
      </c>
      <c r="M86" s="5">
        <v>32.6</v>
      </c>
      <c r="N86" s="5">
        <v>36.0</v>
      </c>
      <c r="O86" s="5">
        <v>32.2</v>
      </c>
      <c r="P86" s="5">
        <v>30.9</v>
      </c>
      <c r="Q86" s="5">
        <v>31.0</v>
      </c>
      <c r="R86" s="5">
        <v>35.3</v>
      </c>
      <c r="S86" s="5">
        <v>39.4</v>
      </c>
      <c r="T86" s="5">
        <v>36.2</v>
      </c>
      <c r="U86" s="5">
        <v>31.5</v>
      </c>
      <c r="W86" s="11">
        <f t="shared" si="1"/>
        <v>-4.7</v>
      </c>
    </row>
    <row r="87">
      <c r="A87" s="5" t="s">
        <v>104</v>
      </c>
      <c r="L87" s="5" t="s">
        <v>104</v>
      </c>
      <c r="W87" s="11">
        <f t="shared" si="1"/>
        <v>0</v>
      </c>
    </row>
    <row r="88">
      <c r="A88" s="5">
        <v>24.9</v>
      </c>
      <c r="B88" s="5">
        <v>26.3</v>
      </c>
      <c r="C88" s="5">
        <v>27.0</v>
      </c>
      <c r="D88" s="5">
        <v>28.3</v>
      </c>
      <c r="E88" s="54" t="s">
        <v>151</v>
      </c>
      <c r="F88" s="54" t="s">
        <v>151</v>
      </c>
      <c r="G88" s="54" t="s">
        <v>151</v>
      </c>
      <c r="H88" s="54" t="s">
        <v>151</v>
      </c>
      <c r="I88" s="54" t="s">
        <v>151</v>
      </c>
      <c r="J88" s="54" t="s">
        <v>151</v>
      </c>
      <c r="K88" s="54" t="s">
        <v>151</v>
      </c>
      <c r="L88" s="54" t="s">
        <v>151</v>
      </c>
      <c r="M88" s="54" t="s">
        <v>151</v>
      </c>
      <c r="N88" s="54"/>
      <c r="O88" s="54"/>
      <c r="W88" s="11">
        <f t="shared" si="1"/>
        <v>0</v>
      </c>
    </row>
    <row r="89">
      <c r="A89" s="5" t="s">
        <v>105</v>
      </c>
      <c r="L89" s="5" t="s">
        <v>105</v>
      </c>
      <c r="T89" s="5" t="s">
        <v>105</v>
      </c>
      <c r="W89" s="11" t="str">
        <f t="shared" si="1"/>
        <v>#VALUE!</v>
      </c>
    </row>
    <row r="90">
      <c r="A90" s="5">
        <v>38.2</v>
      </c>
      <c r="B90" s="5">
        <v>33.5</v>
      </c>
      <c r="C90" s="5">
        <v>34.2</v>
      </c>
      <c r="D90" s="5">
        <v>32.3</v>
      </c>
      <c r="E90" s="5">
        <v>26.6</v>
      </c>
      <c r="F90" s="5">
        <v>38.3</v>
      </c>
      <c r="G90" s="5">
        <v>74.7</v>
      </c>
      <c r="H90" s="5">
        <v>75.6</v>
      </c>
      <c r="I90" s="5">
        <v>76.8</v>
      </c>
      <c r="J90" s="5">
        <v>59.5</v>
      </c>
      <c r="K90" s="5">
        <v>67.7</v>
      </c>
      <c r="L90" s="5">
        <v>67.6</v>
      </c>
      <c r="M90" s="5">
        <v>62.9</v>
      </c>
      <c r="N90" s="5">
        <v>59.9</v>
      </c>
      <c r="O90" s="5">
        <v>63.4</v>
      </c>
      <c r="P90" s="5">
        <v>64.4</v>
      </c>
      <c r="Q90" s="5">
        <v>64.6</v>
      </c>
      <c r="R90" s="5">
        <v>61.0</v>
      </c>
      <c r="S90" s="5">
        <v>56.8</v>
      </c>
      <c r="T90" s="5">
        <v>60.0</v>
      </c>
      <c r="U90" s="5">
        <v>65.1</v>
      </c>
      <c r="W90" s="11">
        <f t="shared" si="1"/>
        <v>5.1</v>
      </c>
    </row>
    <row r="91">
      <c r="A91" s="5" t="s">
        <v>106</v>
      </c>
      <c r="L91" s="5" t="s">
        <v>106</v>
      </c>
      <c r="T91" s="5" t="s">
        <v>106</v>
      </c>
      <c r="W91" s="11" t="str">
        <f t="shared" si="1"/>
        <v>#VALUE!</v>
      </c>
    </row>
    <row r="92">
      <c r="A92" s="5">
        <v>7.5</v>
      </c>
      <c r="B92" s="5">
        <v>8.2</v>
      </c>
      <c r="C92" s="5">
        <v>7.9</v>
      </c>
      <c r="D92" s="5">
        <v>10.7</v>
      </c>
      <c r="E92" s="5">
        <v>11.6</v>
      </c>
      <c r="F92" s="5">
        <v>1.0</v>
      </c>
      <c r="G92" s="5">
        <v>1.5</v>
      </c>
      <c r="H92" s="5">
        <v>1.9</v>
      </c>
      <c r="I92" s="5">
        <v>2.1</v>
      </c>
      <c r="J92" s="5">
        <v>1.1</v>
      </c>
      <c r="K92" s="5">
        <v>1.8</v>
      </c>
      <c r="L92" s="5">
        <v>1.8</v>
      </c>
      <c r="M92" s="5">
        <v>1.6</v>
      </c>
      <c r="N92" s="5">
        <v>1.6</v>
      </c>
      <c r="O92" s="5">
        <v>2.2</v>
      </c>
      <c r="P92" s="5">
        <v>2.0</v>
      </c>
      <c r="Q92" s="5">
        <v>1.9</v>
      </c>
      <c r="R92" s="5">
        <v>1.7</v>
      </c>
      <c r="S92" s="5">
        <v>1.5</v>
      </c>
      <c r="T92" s="5">
        <v>1.6</v>
      </c>
      <c r="U92" s="5">
        <v>1.4</v>
      </c>
      <c r="W92" s="11">
        <f t="shared" si="1"/>
        <v>-0.2</v>
      </c>
    </row>
    <row r="93">
      <c r="A93" s="5" t="s">
        <v>107</v>
      </c>
      <c r="L93" s="5" t="s">
        <v>107</v>
      </c>
      <c r="T93" s="5" t="s">
        <v>107</v>
      </c>
      <c r="W93" s="11" t="str">
        <f t="shared" si="1"/>
        <v>#VALUE!</v>
      </c>
    </row>
    <row r="94">
      <c r="A94" s="5">
        <v>0.8</v>
      </c>
      <c r="B94" s="5">
        <v>0.8</v>
      </c>
      <c r="C94" s="5">
        <v>0.8</v>
      </c>
      <c r="D94" s="5">
        <v>0.6</v>
      </c>
      <c r="E94" s="5">
        <v>1.0</v>
      </c>
      <c r="F94" s="5">
        <v>1.0</v>
      </c>
      <c r="G94" s="5">
        <v>1.0</v>
      </c>
      <c r="H94" s="5">
        <v>1.1</v>
      </c>
      <c r="I94" s="5">
        <v>1.3</v>
      </c>
      <c r="J94" s="5">
        <v>1.0</v>
      </c>
      <c r="K94" s="5">
        <v>0.9</v>
      </c>
      <c r="L94" s="5">
        <v>0.8</v>
      </c>
      <c r="M94" s="5">
        <v>1.0</v>
      </c>
      <c r="N94" s="5">
        <v>1.0</v>
      </c>
      <c r="O94" s="5">
        <v>0.8</v>
      </c>
      <c r="P94" s="5">
        <v>0.7</v>
      </c>
      <c r="Q94" s="5">
        <v>0.8</v>
      </c>
      <c r="R94" s="5">
        <v>0.7</v>
      </c>
      <c r="S94" s="5">
        <v>0.7</v>
      </c>
      <c r="T94" s="5">
        <v>0.6</v>
      </c>
      <c r="U94" s="5">
        <v>0.7</v>
      </c>
      <c r="W94" s="11">
        <f t="shared" si="1"/>
        <v>0.1</v>
      </c>
    </row>
    <row r="95">
      <c r="A95" s="5" t="s">
        <v>109</v>
      </c>
      <c r="L95" s="5" t="s">
        <v>109</v>
      </c>
      <c r="T95" s="5" t="s">
        <v>109</v>
      </c>
      <c r="W95" s="11" t="str">
        <f t="shared" si="1"/>
        <v>#VALUE!</v>
      </c>
    </row>
    <row r="96">
      <c r="A96" s="5">
        <v>0.6</v>
      </c>
      <c r="B96" s="5">
        <v>0.4</v>
      </c>
      <c r="C96" s="5">
        <v>0.4</v>
      </c>
      <c r="D96" s="5">
        <v>0.4</v>
      </c>
      <c r="E96" s="5">
        <v>0.5</v>
      </c>
      <c r="F96" s="5">
        <v>0.7</v>
      </c>
      <c r="G96" s="5">
        <v>0.7</v>
      </c>
      <c r="H96" s="5">
        <v>1.0</v>
      </c>
      <c r="I96" s="5">
        <v>1.5</v>
      </c>
      <c r="J96" s="5">
        <v>0.9</v>
      </c>
      <c r="K96" s="5">
        <v>0.9</v>
      </c>
      <c r="L96" s="5">
        <v>1.1</v>
      </c>
      <c r="M96" s="5">
        <v>1.3</v>
      </c>
      <c r="N96" s="5">
        <v>1.3</v>
      </c>
      <c r="O96" s="5">
        <v>1.2</v>
      </c>
      <c r="P96" s="5">
        <v>1.6</v>
      </c>
      <c r="Q96" s="5">
        <v>1.3</v>
      </c>
      <c r="R96" s="5">
        <v>1.0</v>
      </c>
      <c r="S96" s="5">
        <v>1.1</v>
      </c>
      <c r="T96" s="5">
        <v>1.2</v>
      </c>
      <c r="U96" s="5">
        <v>1.0</v>
      </c>
      <c r="W96" s="11">
        <f t="shared" si="1"/>
        <v>-0.2</v>
      </c>
    </row>
    <row r="99">
      <c r="A99" s="3" t="s">
        <v>111</v>
      </c>
    </row>
    <row r="100">
      <c r="A100" s="15"/>
      <c r="B100" s="18" t="s">
        <v>164</v>
      </c>
      <c r="C100" s="14"/>
      <c r="D100" s="14"/>
      <c r="E100" s="18" t="s">
        <v>165</v>
      </c>
      <c r="G100" s="8" t="s">
        <v>122</v>
      </c>
      <c r="J100" s="8" t="s">
        <v>166</v>
      </c>
      <c r="M100" s="8" t="s">
        <v>124</v>
      </c>
      <c r="P100" s="8" t="s">
        <v>125</v>
      </c>
      <c r="S100" s="55" t="s">
        <v>167</v>
      </c>
      <c r="T100" s="5" t="s">
        <v>168</v>
      </c>
      <c r="V100" s="8" t="s">
        <v>5</v>
      </c>
    </row>
    <row r="101">
      <c r="A101" s="56" t="s">
        <v>169</v>
      </c>
      <c r="B101" s="19">
        <v>21.4</v>
      </c>
      <c r="C101" s="14"/>
      <c r="D101" s="14" t="s">
        <v>24</v>
      </c>
      <c r="E101" s="19">
        <v>23.6</v>
      </c>
      <c r="G101" s="14" t="s">
        <v>24</v>
      </c>
      <c r="H101" s="5">
        <v>21.9</v>
      </c>
      <c r="J101" s="14" t="s">
        <v>169</v>
      </c>
      <c r="K101" s="5">
        <v>20.2</v>
      </c>
      <c r="M101" s="5" t="s">
        <v>30</v>
      </c>
      <c r="N101" s="5">
        <v>18.9</v>
      </c>
      <c r="P101" s="5" t="s">
        <v>30</v>
      </c>
      <c r="Q101" s="5">
        <v>22.3</v>
      </c>
      <c r="S101" s="5" t="s">
        <v>30</v>
      </c>
      <c r="T101" s="5">
        <v>22.7</v>
      </c>
      <c r="V101" s="5" t="s">
        <v>30</v>
      </c>
      <c r="W101" s="5">
        <v>22.0</v>
      </c>
    </row>
    <row r="102">
      <c r="A102" s="56" t="s">
        <v>24</v>
      </c>
      <c r="B102" s="19">
        <v>17.7</v>
      </c>
      <c r="C102" s="14"/>
      <c r="D102" s="14" t="s">
        <v>169</v>
      </c>
      <c r="E102" s="19">
        <v>20.1</v>
      </c>
      <c r="G102" s="14" t="s">
        <v>169</v>
      </c>
      <c r="H102" s="5">
        <v>20.9</v>
      </c>
      <c r="J102" s="14" t="s">
        <v>24</v>
      </c>
      <c r="K102" s="5">
        <v>19.0</v>
      </c>
      <c r="M102" s="5" t="s">
        <v>42</v>
      </c>
      <c r="N102" s="5">
        <v>16.2</v>
      </c>
      <c r="P102" s="5" t="s">
        <v>42</v>
      </c>
      <c r="Q102" s="5">
        <v>15.5</v>
      </c>
      <c r="S102" s="5" t="s">
        <v>42</v>
      </c>
      <c r="T102" s="5">
        <v>15.7</v>
      </c>
      <c r="V102" s="5" t="s">
        <v>42</v>
      </c>
      <c r="W102" s="5">
        <v>14.8</v>
      </c>
    </row>
    <row r="103">
      <c r="A103" s="56" t="s">
        <v>42</v>
      </c>
      <c r="B103" s="19">
        <v>14.6</v>
      </c>
      <c r="C103" s="14"/>
      <c r="D103" s="14" t="s">
        <v>42</v>
      </c>
      <c r="E103" s="19">
        <v>16.3</v>
      </c>
      <c r="G103" s="14" t="s">
        <v>42</v>
      </c>
      <c r="H103" s="5">
        <v>15.4</v>
      </c>
      <c r="J103" s="14" t="s">
        <v>42</v>
      </c>
      <c r="K103" s="5">
        <v>15.8</v>
      </c>
      <c r="M103" s="5" t="s">
        <v>33</v>
      </c>
      <c r="N103" s="5">
        <v>10.1</v>
      </c>
      <c r="P103" s="5" t="s">
        <v>24</v>
      </c>
      <c r="Q103" s="5">
        <v>10.5</v>
      </c>
      <c r="S103" s="5" t="s">
        <v>33</v>
      </c>
      <c r="T103" s="5">
        <v>9.5</v>
      </c>
      <c r="V103" s="5" t="s">
        <v>47</v>
      </c>
      <c r="W103" s="5">
        <v>8.7</v>
      </c>
    </row>
    <row r="104">
      <c r="A104" s="56" t="s">
        <v>170</v>
      </c>
      <c r="B104" s="19">
        <v>7.4</v>
      </c>
      <c r="C104" s="14"/>
      <c r="D104" s="14" t="s">
        <v>170</v>
      </c>
      <c r="E104" s="19">
        <v>6.6</v>
      </c>
      <c r="G104" s="14" t="s">
        <v>170</v>
      </c>
      <c r="H104" s="5">
        <v>6.0</v>
      </c>
      <c r="J104" s="14" t="s">
        <v>171</v>
      </c>
      <c r="K104" s="5">
        <v>6.4</v>
      </c>
      <c r="M104" s="5" t="s">
        <v>24</v>
      </c>
      <c r="N104" s="5">
        <v>10.0</v>
      </c>
      <c r="P104" s="5" t="s">
        <v>33</v>
      </c>
      <c r="Q104" s="5">
        <v>8.7</v>
      </c>
      <c r="S104" s="5" t="s">
        <v>47</v>
      </c>
      <c r="T104" s="5">
        <v>8.3</v>
      </c>
      <c r="V104" s="5" t="s">
        <v>33</v>
      </c>
      <c r="W104" s="5">
        <v>8.0</v>
      </c>
    </row>
    <row r="105">
      <c r="A105" s="56" t="s">
        <v>40</v>
      </c>
      <c r="B105" s="19">
        <v>7.1</v>
      </c>
      <c r="C105" s="14"/>
      <c r="D105" s="14" t="s">
        <v>40</v>
      </c>
      <c r="E105" s="19">
        <v>5.7</v>
      </c>
      <c r="G105" s="14" t="s">
        <v>171</v>
      </c>
      <c r="H105" s="5">
        <v>4.8</v>
      </c>
      <c r="J105" s="14" t="s">
        <v>172</v>
      </c>
      <c r="K105" s="5">
        <v>5.8</v>
      </c>
      <c r="M105" s="5" t="s">
        <v>47</v>
      </c>
      <c r="N105" s="5">
        <v>8.3</v>
      </c>
      <c r="P105" s="5" t="s">
        <v>47</v>
      </c>
      <c r="Q105" s="5">
        <v>8.2</v>
      </c>
      <c r="S105" s="5" t="s">
        <v>24</v>
      </c>
      <c r="T105" s="5">
        <v>7.8</v>
      </c>
      <c r="V105" s="5" t="s">
        <v>24</v>
      </c>
      <c r="W105" s="5">
        <v>7.8</v>
      </c>
    </row>
    <row r="106">
      <c r="A106" s="56" t="s">
        <v>172</v>
      </c>
      <c r="B106" s="19">
        <v>5.3</v>
      </c>
      <c r="C106" s="14"/>
      <c r="D106" s="14" t="s">
        <v>172</v>
      </c>
      <c r="E106" s="19">
        <v>4.2</v>
      </c>
      <c r="G106" s="14" t="s">
        <v>40</v>
      </c>
      <c r="H106" s="5">
        <v>4.8</v>
      </c>
      <c r="J106" s="14" t="s">
        <v>170</v>
      </c>
      <c r="K106" s="5">
        <v>5.0</v>
      </c>
      <c r="M106" s="5" t="s">
        <v>53</v>
      </c>
      <c r="N106" s="5">
        <v>5.3</v>
      </c>
      <c r="P106" s="5" t="s">
        <v>112</v>
      </c>
      <c r="Q106" s="5">
        <v>5.6</v>
      </c>
      <c r="S106" s="5" t="s">
        <v>40</v>
      </c>
      <c r="T106" s="5">
        <v>6.7</v>
      </c>
      <c r="V106" s="5" t="s">
        <v>53</v>
      </c>
      <c r="W106" s="5">
        <v>6.5</v>
      </c>
    </row>
    <row r="107">
      <c r="A107" s="56" t="s">
        <v>57</v>
      </c>
      <c r="B107" s="19">
        <v>4.8</v>
      </c>
      <c r="C107" s="14"/>
      <c r="D107" s="14" t="s">
        <v>112</v>
      </c>
      <c r="E107" s="19">
        <v>3.9</v>
      </c>
      <c r="G107" s="14" t="s">
        <v>172</v>
      </c>
      <c r="H107" s="5">
        <v>4.6</v>
      </c>
      <c r="J107" s="14" t="s">
        <v>112</v>
      </c>
      <c r="K107" s="5">
        <v>4.7</v>
      </c>
      <c r="M107" s="5" t="s">
        <v>112</v>
      </c>
      <c r="N107" s="5">
        <v>4.6</v>
      </c>
      <c r="P107" s="5" t="s">
        <v>53</v>
      </c>
      <c r="Q107" s="5">
        <v>4.5</v>
      </c>
      <c r="S107" s="5" t="s">
        <v>112</v>
      </c>
      <c r="T107" s="5">
        <v>5.3</v>
      </c>
      <c r="V107" s="5" t="s">
        <v>112</v>
      </c>
      <c r="W107" s="5">
        <v>5.8</v>
      </c>
    </row>
    <row r="108">
      <c r="A108" s="56" t="s">
        <v>112</v>
      </c>
      <c r="B108" s="19">
        <v>4.3</v>
      </c>
      <c r="C108" s="14"/>
      <c r="D108" s="14" t="s">
        <v>171</v>
      </c>
      <c r="E108" s="19">
        <v>3.5</v>
      </c>
      <c r="G108" s="14" t="s">
        <v>173</v>
      </c>
      <c r="H108" s="5">
        <v>4.4</v>
      </c>
      <c r="J108" s="14" t="s">
        <v>173</v>
      </c>
      <c r="K108" s="5">
        <v>4.3</v>
      </c>
      <c r="M108" s="5" t="s">
        <v>40</v>
      </c>
      <c r="N108" s="5">
        <v>4.4</v>
      </c>
      <c r="P108" s="5" t="s">
        <v>40</v>
      </c>
      <c r="Q108" s="5">
        <v>4.5</v>
      </c>
      <c r="S108" s="5" t="s">
        <v>53</v>
      </c>
      <c r="T108" s="5">
        <v>4.8</v>
      </c>
      <c r="V108" s="5" t="s">
        <v>40</v>
      </c>
      <c r="W108" s="5">
        <v>5.6</v>
      </c>
    </row>
    <row r="109">
      <c r="A109" s="56" t="s">
        <v>171</v>
      </c>
      <c r="B109" s="19">
        <v>3.9</v>
      </c>
      <c r="C109" s="14"/>
      <c r="D109" s="14" t="s">
        <v>173</v>
      </c>
      <c r="E109" s="19">
        <v>3.1</v>
      </c>
      <c r="G109" s="14" t="s">
        <v>112</v>
      </c>
      <c r="H109" s="5">
        <v>4.1</v>
      </c>
      <c r="J109" s="5" t="s">
        <v>40</v>
      </c>
      <c r="K109" s="5">
        <v>3.9</v>
      </c>
      <c r="M109" s="5" t="s">
        <v>170</v>
      </c>
      <c r="N109" s="5">
        <v>3.8</v>
      </c>
      <c r="P109" s="5" t="s">
        <v>170</v>
      </c>
      <c r="Q109" s="5">
        <v>4.1</v>
      </c>
      <c r="S109" s="5" t="s">
        <v>57</v>
      </c>
      <c r="T109" s="5">
        <v>3.1</v>
      </c>
      <c r="V109" s="5" t="s">
        <v>57</v>
      </c>
      <c r="W109" s="5">
        <v>2.9</v>
      </c>
    </row>
    <row r="110">
      <c r="A110" s="56" t="s">
        <v>145</v>
      </c>
      <c r="B110" s="19">
        <v>2.3</v>
      </c>
      <c r="C110" s="14"/>
      <c r="D110" s="14" t="s">
        <v>57</v>
      </c>
      <c r="E110" s="19">
        <v>3.0</v>
      </c>
      <c r="G110" s="14" t="s">
        <v>57</v>
      </c>
      <c r="H110" s="5">
        <v>3.4</v>
      </c>
      <c r="J110" s="14" t="s">
        <v>57</v>
      </c>
      <c r="K110" s="5">
        <v>3.5</v>
      </c>
      <c r="M110" s="5" t="s">
        <v>57</v>
      </c>
      <c r="N110" s="5">
        <v>3.8</v>
      </c>
      <c r="P110" s="5" t="s">
        <v>57</v>
      </c>
      <c r="Q110" s="5">
        <v>3.5</v>
      </c>
      <c r="S110" s="5" t="s">
        <v>55</v>
      </c>
      <c r="T110" s="5">
        <v>2.9</v>
      </c>
      <c r="V110" s="5" t="s">
        <v>45</v>
      </c>
      <c r="W110" s="5">
        <v>2.8</v>
      </c>
    </row>
    <row r="111">
      <c r="A111" s="56" t="s">
        <v>113</v>
      </c>
      <c r="B111" s="19">
        <f>100-SUM(B101:B110)</f>
        <v>11.2</v>
      </c>
      <c r="C111" s="14"/>
      <c r="D111" s="14" t="s">
        <v>113</v>
      </c>
      <c r="E111" s="19">
        <f>100-SUM(E101:E110)</f>
        <v>10</v>
      </c>
      <c r="G111" s="5" t="s">
        <v>174</v>
      </c>
      <c r="H111" s="11">
        <f>100-SUM(H101:H110)</f>
        <v>9.7</v>
      </c>
      <c r="J111" s="5" t="s">
        <v>174</v>
      </c>
      <c r="K111" s="11">
        <f>100-SUM(K101:K110)</f>
        <v>11.4</v>
      </c>
      <c r="M111" s="5" t="s">
        <v>174</v>
      </c>
      <c r="N111" s="11">
        <f>100-SUM(N101:N110)</f>
        <v>14.6</v>
      </c>
      <c r="P111" s="5" t="s">
        <v>113</v>
      </c>
      <c r="Q111" s="11">
        <f>100-SUM(Q101:Q110)</f>
        <v>12.6</v>
      </c>
      <c r="S111" s="5" t="s">
        <v>113</v>
      </c>
      <c r="T111" s="11">
        <f>100-SUM(T101:T110)</f>
        <v>13.2</v>
      </c>
      <c r="V111" s="5" t="s">
        <v>113</v>
      </c>
      <c r="W111" s="11">
        <f>100-SUM(W101:W110)</f>
        <v>15.1</v>
      </c>
    </row>
    <row r="115">
      <c r="A115" s="3" t="s">
        <v>127</v>
      </c>
    </row>
    <row r="116">
      <c r="A116" s="5" t="s">
        <v>11</v>
      </c>
      <c r="B116" s="5">
        <v>8.1</v>
      </c>
    </row>
    <row r="117">
      <c r="A117" s="5" t="s">
        <v>12</v>
      </c>
      <c r="B117" s="5">
        <v>9.7</v>
      </c>
    </row>
    <row r="118">
      <c r="A118" s="5" t="s">
        <v>13</v>
      </c>
      <c r="B118" s="5">
        <v>13.2</v>
      </c>
    </row>
    <row r="119">
      <c r="A119" s="5" t="s">
        <v>14</v>
      </c>
      <c r="B119" s="5">
        <v>10.9</v>
      </c>
    </row>
    <row r="120">
      <c r="A120" s="5" t="s">
        <v>114</v>
      </c>
      <c r="B120" s="21">
        <v>0.112</v>
      </c>
    </row>
    <row r="121">
      <c r="A121" s="5" t="s">
        <v>115</v>
      </c>
      <c r="B121" s="21">
        <v>0.145</v>
      </c>
    </row>
    <row r="122">
      <c r="A122" s="5" t="s">
        <v>116</v>
      </c>
      <c r="B122" s="21">
        <v>0.133</v>
      </c>
    </row>
    <row r="123">
      <c r="A123" s="5" t="s">
        <v>117</v>
      </c>
      <c r="B123" s="21">
        <v>0.275</v>
      </c>
    </row>
    <row r="124">
      <c r="A124" s="5" t="s">
        <v>6</v>
      </c>
      <c r="B124" s="21">
        <v>0.239</v>
      </c>
    </row>
    <row r="125">
      <c r="A125" s="5" t="s">
        <v>7</v>
      </c>
      <c r="B125" s="21">
        <v>0.133</v>
      </c>
    </row>
    <row r="126">
      <c r="A126" s="5" t="s">
        <v>9</v>
      </c>
      <c r="B126" s="21">
        <v>0.202</v>
      </c>
    </row>
    <row r="127">
      <c r="A127" s="5" t="s">
        <v>119</v>
      </c>
      <c r="B127" s="21">
        <v>0.307</v>
      </c>
    </row>
    <row r="128">
      <c r="A128" s="5" t="s">
        <v>120</v>
      </c>
      <c r="B128" s="21">
        <v>0.497</v>
      </c>
    </row>
    <row r="129">
      <c r="A129" s="5" t="s">
        <v>121</v>
      </c>
      <c r="B129" s="21">
        <v>0.376</v>
      </c>
    </row>
    <row r="130">
      <c r="A130" s="5" t="s">
        <v>122</v>
      </c>
      <c r="B130" s="5">
        <v>23.0</v>
      </c>
    </row>
    <row r="131">
      <c r="A131" s="5" t="s">
        <v>123</v>
      </c>
      <c r="B131" s="5">
        <v>14.4</v>
      </c>
    </row>
    <row r="132">
      <c r="A132" s="5" t="s">
        <v>124</v>
      </c>
      <c r="B132" s="40">
        <v>0.243</v>
      </c>
    </row>
    <row r="133">
      <c r="A133" s="5" t="s">
        <v>125</v>
      </c>
      <c r="B133" s="40">
        <v>0.285</v>
      </c>
    </row>
    <row r="134">
      <c r="A134" s="5" t="s">
        <v>126</v>
      </c>
      <c r="B134" s="5" t="s">
        <v>176</v>
      </c>
    </row>
    <row r="135">
      <c r="A135" s="8" t="s">
        <v>5</v>
      </c>
      <c r="B135" s="40">
        <v>0.305</v>
      </c>
    </row>
    <row r="136">
      <c r="B136" s="40"/>
    </row>
    <row r="139">
      <c r="A139" s="3" t="s">
        <v>128</v>
      </c>
    </row>
    <row r="140">
      <c r="A140" s="5" t="s">
        <v>7</v>
      </c>
      <c r="B140" s="5" t="s">
        <v>118</v>
      </c>
      <c r="C140" s="5" t="s">
        <v>119</v>
      </c>
      <c r="D140" s="5" t="s">
        <v>120</v>
      </c>
      <c r="E140" s="5" t="s">
        <v>121</v>
      </c>
      <c r="F140" s="5" t="s">
        <v>122</v>
      </c>
      <c r="G140" s="5" t="s">
        <v>123</v>
      </c>
      <c r="H140" s="5" t="s">
        <v>124</v>
      </c>
      <c r="I140" s="5" t="s">
        <v>125</v>
      </c>
      <c r="J140" s="5" t="s">
        <v>126</v>
      </c>
      <c r="K140" s="8" t="s">
        <v>5</v>
      </c>
    </row>
    <row r="141">
      <c r="A141" s="16" t="s">
        <v>130</v>
      </c>
      <c r="B141" s="16" t="s">
        <v>130</v>
      </c>
      <c r="C141" s="16" t="s">
        <v>130</v>
      </c>
      <c r="D141" s="16" t="s">
        <v>130</v>
      </c>
      <c r="E141" s="16" t="s">
        <v>130</v>
      </c>
      <c r="F141" s="16" t="s">
        <v>130</v>
      </c>
      <c r="G141" s="16" t="s">
        <v>130</v>
      </c>
      <c r="H141" s="16" t="s">
        <v>130</v>
      </c>
      <c r="I141" s="16" t="s">
        <v>130</v>
      </c>
      <c r="J141" s="16" t="s">
        <v>130</v>
      </c>
      <c r="K141" s="14"/>
    </row>
    <row r="142">
      <c r="A142" s="5">
        <v>38342.0</v>
      </c>
      <c r="B142" s="5">
        <v>37385.0</v>
      </c>
      <c r="C142" s="5">
        <v>34629.0</v>
      </c>
      <c r="D142" s="5">
        <v>32429.0</v>
      </c>
      <c r="E142" s="5">
        <v>35646.0</v>
      </c>
      <c r="F142" s="5">
        <v>38743.0</v>
      </c>
      <c r="G142" s="5">
        <v>47106.0</v>
      </c>
      <c r="H142" s="5">
        <v>41810.0</v>
      </c>
      <c r="I142" s="5">
        <v>38982.0</v>
      </c>
      <c r="J142" s="5">
        <v>33155.0</v>
      </c>
      <c r="K142" s="5">
        <v>35973.0</v>
      </c>
    </row>
    <row r="143">
      <c r="A143" s="37" t="s">
        <v>68</v>
      </c>
      <c r="B143" s="37" t="s">
        <v>68</v>
      </c>
      <c r="C143" s="37" t="s">
        <v>68</v>
      </c>
      <c r="D143" s="37" t="s">
        <v>68</v>
      </c>
      <c r="E143" s="37" t="s">
        <v>68</v>
      </c>
      <c r="F143" s="37" t="s">
        <v>68</v>
      </c>
      <c r="G143" s="37" t="s">
        <v>68</v>
      </c>
      <c r="H143" s="37" t="s">
        <v>68</v>
      </c>
      <c r="I143" s="37" t="s">
        <v>68</v>
      </c>
      <c r="J143" s="37" t="s">
        <v>68</v>
      </c>
    </row>
    <row r="144">
      <c r="A144" s="5">
        <v>36923.0</v>
      </c>
      <c r="B144" s="5">
        <v>39203.0</v>
      </c>
      <c r="C144" s="5">
        <v>37328.0</v>
      </c>
      <c r="D144" s="5">
        <v>37378.0</v>
      </c>
      <c r="E144" s="5">
        <v>37623.0</v>
      </c>
      <c r="F144" s="5">
        <v>35893.0</v>
      </c>
      <c r="G144" s="5">
        <v>37144.0</v>
      </c>
      <c r="H144" s="5">
        <v>38704.0</v>
      </c>
      <c r="I144" s="5">
        <v>39981.0</v>
      </c>
      <c r="J144" s="5">
        <v>35780.0</v>
      </c>
      <c r="K144" s="5">
        <v>35973.0</v>
      </c>
    </row>
    <row r="145">
      <c r="A145" s="37" t="s">
        <v>73</v>
      </c>
      <c r="B145" s="37" t="s">
        <v>73</v>
      </c>
      <c r="C145" s="37" t="s">
        <v>73</v>
      </c>
      <c r="D145" s="37" t="s">
        <v>73</v>
      </c>
      <c r="E145" s="37" t="s">
        <v>73</v>
      </c>
      <c r="F145" s="37" t="s">
        <v>73</v>
      </c>
      <c r="G145" s="37" t="s">
        <v>73</v>
      </c>
      <c r="H145" s="37" t="s">
        <v>73</v>
      </c>
      <c r="I145" s="37" t="s">
        <v>73</v>
      </c>
      <c r="J145" s="37" t="s">
        <v>73</v>
      </c>
    </row>
    <row r="146">
      <c r="A146" s="5">
        <v>45187.0</v>
      </c>
      <c r="B146" s="5">
        <v>45435.0</v>
      </c>
      <c r="C146" s="5">
        <v>48208.0</v>
      </c>
      <c r="D146" s="5">
        <v>47330.0</v>
      </c>
      <c r="E146" s="5">
        <v>46513.0</v>
      </c>
      <c r="F146" s="5">
        <v>46028.0</v>
      </c>
      <c r="G146" s="5">
        <v>44615.0</v>
      </c>
      <c r="H146" s="5">
        <v>45388.0</v>
      </c>
      <c r="I146" s="5">
        <v>48531.0</v>
      </c>
      <c r="J146" s="5">
        <v>40811.0</v>
      </c>
      <c r="K146" s="5">
        <v>39848.0</v>
      </c>
    </row>
    <row r="147">
      <c r="A147" s="5" t="s">
        <v>76</v>
      </c>
      <c r="B147" s="5" t="s">
        <v>76</v>
      </c>
      <c r="C147" s="5" t="s">
        <v>76</v>
      </c>
      <c r="D147" s="5" t="s">
        <v>76</v>
      </c>
      <c r="E147" s="5" t="s">
        <v>76</v>
      </c>
      <c r="F147" s="5" t="s">
        <v>76</v>
      </c>
      <c r="G147" s="5" t="s">
        <v>76</v>
      </c>
      <c r="H147" s="5" t="s">
        <v>76</v>
      </c>
      <c r="I147" s="5" t="s">
        <v>76</v>
      </c>
      <c r="J147" s="5" t="s">
        <v>76</v>
      </c>
      <c r="O147" s="58"/>
    </row>
    <row r="148">
      <c r="A148" s="5">
        <v>53235.0</v>
      </c>
      <c r="B148" s="5">
        <v>51245.0</v>
      </c>
      <c r="C148" s="5">
        <v>53256.0</v>
      </c>
      <c r="D148" s="5">
        <v>55509.0</v>
      </c>
      <c r="E148" s="5">
        <v>53228.0</v>
      </c>
      <c r="F148" s="5">
        <v>50735.0</v>
      </c>
      <c r="G148" s="5">
        <v>49878.0</v>
      </c>
      <c r="H148" s="5">
        <v>52075.0</v>
      </c>
      <c r="I148" s="5">
        <v>52863.0</v>
      </c>
      <c r="J148" s="5">
        <v>46197.0</v>
      </c>
      <c r="K148" s="5">
        <v>48379.0</v>
      </c>
      <c r="O148" s="58"/>
    </row>
    <row r="149">
      <c r="A149" s="37" t="s">
        <v>79</v>
      </c>
      <c r="B149" s="37" t="s">
        <v>79</v>
      </c>
      <c r="C149" s="37" t="s">
        <v>79</v>
      </c>
      <c r="D149" s="37" t="s">
        <v>79</v>
      </c>
      <c r="E149" s="37" t="s">
        <v>79</v>
      </c>
      <c r="F149" s="37" t="s">
        <v>79</v>
      </c>
      <c r="G149" s="37" t="s">
        <v>79</v>
      </c>
      <c r="H149" s="37" t="s">
        <v>79</v>
      </c>
      <c r="I149" s="37" t="s">
        <v>79</v>
      </c>
      <c r="J149" s="37" t="s">
        <v>79</v>
      </c>
    </row>
    <row r="150">
      <c r="A150" s="5">
        <v>59477.0</v>
      </c>
      <c r="B150" s="5">
        <v>57628.0</v>
      </c>
      <c r="C150" s="5">
        <v>60794.0</v>
      </c>
      <c r="D150" s="5">
        <v>65160.0</v>
      </c>
      <c r="E150" s="5">
        <v>59169.0</v>
      </c>
      <c r="F150" s="5">
        <v>57649.0</v>
      </c>
      <c r="G150" s="5">
        <v>55924.0</v>
      </c>
      <c r="H150" s="5">
        <v>60406.0</v>
      </c>
      <c r="I150" s="5">
        <v>60749.0</v>
      </c>
      <c r="J150" s="5">
        <v>53778.0</v>
      </c>
      <c r="K150" s="5">
        <v>54265.0</v>
      </c>
    </row>
    <row r="151">
      <c r="A151" s="37" t="s">
        <v>82</v>
      </c>
      <c r="B151" s="37" t="s">
        <v>82</v>
      </c>
      <c r="C151" s="37" t="s">
        <v>82</v>
      </c>
      <c r="D151" s="37" t="s">
        <v>82</v>
      </c>
      <c r="E151" s="37" t="s">
        <v>82</v>
      </c>
      <c r="F151" s="37" t="s">
        <v>82</v>
      </c>
      <c r="G151" s="37" t="s">
        <v>82</v>
      </c>
      <c r="H151" s="37" t="s">
        <v>82</v>
      </c>
      <c r="I151" s="37" t="s">
        <v>82</v>
      </c>
      <c r="J151" s="37" t="s">
        <v>82</v>
      </c>
      <c r="K151" s="37"/>
    </row>
    <row r="152">
      <c r="A152" s="5">
        <v>69131.0</v>
      </c>
      <c r="B152" s="5">
        <v>68143.0</v>
      </c>
      <c r="C152" s="5">
        <v>70677.0</v>
      </c>
      <c r="D152" s="5">
        <v>75966.0</v>
      </c>
      <c r="E152" s="5">
        <v>74009.0</v>
      </c>
      <c r="F152" s="5">
        <v>72767.0</v>
      </c>
      <c r="G152" s="5">
        <v>72024.0</v>
      </c>
      <c r="H152" s="5">
        <v>72515.0</v>
      </c>
      <c r="I152" s="5">
        <v>77037.0</v>
      </c>
      <c r="J152" s="5">
        <v>64743.0</v>
      </c>
      <c r="K152" s="5">
        <v>64499.0</v>
      </c>
    </row>
    <row r="153">
      <c r="A153" s="5" t="s">
        <v>133</v>
      </c>
      <c r="B153" s="5" t="s">
        <v>133</v>
      </c>
      <c r="C153" s="5" t="s">
        <v>133</v>
      </c>
      <c r="D153" s="5" t="s">
        <v>133</v>
      </c>
      <c r="E153" s="5" t="s">
        <v>133</v>
      </c>
      <c r="F153" s="5" t="s">
        <v>133</v>
      </c>
      <c r="G153" s="5" t="s">
        <v>133</v>
      </c>
      <c r="H153" s="5" t="s">
        <v>133</v>
      </c>
      <c r="I153" s="5" t="s">
        <v>133</v>
      </c>
      <c r="J153" s="5" t="s">
        <v>133</v>
      </c>
    </row>
    <row r="154">
      <c r="A154" s="5">
        <v>115485.0</v>
      </c>
      <c r="B154" s="5">
        <v>136346.0</v>
      </c>
      <c r="C154" s="5">
        <v>137764.0</v>
      </c>
      <c r="D154" s="5">
        <v>142562.0</v>
      </c>
      <c r="E154" s="5">
        <v>141563.0</v>
      </c>
      <c r="F154" s="5">
        <v>145891.0</v>
      </c>
      <c r="G154" s="5">
        <v>143374.0</v>
      </c>
      <c r="H154" s="5">
        <v>142001.0</v>
      </c>
      <c r="I154" s="5">
        <v>147835.0</v>
      </c>
      <c r="J154" s="5">
        <v>73226.0</v>
      </c>
      <c r="K154" s="5">
        <v>71946.0</v>
      </c>
    </row>
    <row r="156">
      <c r="A156" s="3" t="s">
        <v>134</v>
      </c>
    </row>
    <row r="157">
      <c r="B157" s="5" t="s">
        <v>129</v>
      </c>
      <c r="C157" s="5" t="s">
        <v>182</v>
      </c>
      <c r="D157" s="5" t="s">
        <v>118</v>
      </c>
      <c r="E157" s="5" t="s">
        <v>119</v>
      </c>
      <c r="F157" s="5" t="s">
        <v>120</v>
      </c>
      <c r="G157" s="5" t="s">
        <v>121</v>
      </c>
      <c r="H157" s="5" t="s">
        <v>122</v>
      </c>
      <c r="I157" s="5" t="s">
        <v>123</v>
      </c>
      <c r="J157" s="5" t="s">
        <v>124</v>
      </c>
      <c r="K157" s="5" t="s">
        <v>125</v>
      </c>
      <c r="L157" s="5" t="s">
        <v>126</v>
      </c>
      <c r="M157" s="8" t="s">
        <v>5</v>
      </c>
    </row>
    <row r="158">
      <c r="A158" s="44" t="s">
        <v>137</v>
      </c>
      <c r="B158" s="44">
        <v>17.4</v>
      </c>
      <c r="C158" s="44">
        <v>14.1</v>
      </c>
    </row>
    <row r="159">
      <c r="A159" s="44" t="s">
        <v>138</v>
      </c>
      <c r="B159" s="44">
        <v>20.7</v>
      </c>
      <c r="C159" s="44">
        <v>8.9</v>
      </c>
    </row>
    <row r="160">
      <c r="A160" s="44" t="s">
        <v>139</v>
      </c>
      <c r="B160" s="44">
        <v>19.8</v>
      </c>
      <c r="C160" s="44">
        <v>12.8</v>
      </c>
    </row>
    <row r="161">
      <c r="A161" s="5" t="s">
        <v>140</v>
      </c>
      <c r="B161" s="5">
        <v>27.3</v>
      </c>
      <c r="C161" s="5">
        <v>18.7</v>
      </c>
      <c r="D161" s="5">
        <v>21.0</v>
      </c>
      <c r="E161" s="5">
        <v>25.8</v>
      </c>
      <c r="F161" s="5">
        <v>22.1</v>
      </c>
      <c r="G161" s="5">
        <v>20.9</v>
      </c>
      <c r="H161" s="5">
        <v>19.3</v>
      </c>
      <c r="I161" s="5">
        <v>17.0</v>
      </c>
      <c r="J161" s="5">
        <v>15.9</v>
      </c>
      <c r="K161" s="5">
        <v>14.9</v>
      </c>
      <c r="L161" s="5">
        <v>15.6</v>
      </c>
      <c r="M161" s="5">
        <v>14.5</v>
      </c>
    </row>
    <row r="163">
      <c r="A163" s="3" t="s">
        <v>141</v>
      </c>
      <c r="B163" s="46"/>
      <c r="C163" s="46"/>
      <c r="D163" s="46"/>
    </row>
    <row r="164">
      <c r="A164" s="8" t="s">
        <v>12</v>
      </c>
      <c r="D164" s="8" t="s">
        <v>122</v>
      </c>
      <c r="G164" s="8" t="s">
        <v>123</v>
      </c>
      <c r="J164" s="8" t="s">
        <v>124</v>
      </c>
      <c r="M164" s="8" t="s">
        <v>125</v>
      </c>
      <c r="P164" s="8" t="s">
        <v>126</v>
      </c>
      <c r="S164" s="8" t="s">
        <v>5</v>
      </c>
    </row>
    <row r="165">
      <c r="A165" s="5" t="s">
        <v>24</v>
      </c>
      <c r="B165" s="5">
        <v>58.0</v>
      </c>
      <c r="D165" s="5" t="s">
        <v>170</v>
      </c>
      <c r="E165" s="5">
        <v>62.0</v>
      </c>
      <c r="G165" s="11" t="s">
        <v>170</v>
      </c>
      <c r="H165" s="5">
        <v>60.0</v>
      </c>
      <c r="J165" s="5" t="s">
        <v>170</v>
      </c>
      <c r="K165" s="5">
        <v>59.58</v>
      </c>
      <c r="M165" s="5" t="s">
        <v>170</v>
      </c>
      <c r="N165" s="5">
        <v>65.66</v>
      </c>
      <c r="P165" s="5" t="s">
        <v>170</v>
      </c>
      <c r="Q165" s="5">
        <v>63.38</v>
      </c>
      <c r="S165" s="5" t="s">
        <v>24</v>
      </c>
      <c r="T165" s="5">
        <v>47.81</v>
      </c>
    </row>
    <row r="166">
      <c r="A166" s="5" t="s">
        <v>170</v>
      </c>
      <c r="B166" s="5">
        <v>58.0</v>
      </c>
      <c r="D166" s="5" t="s">
        <v>24</v>
      </c>
      <c r="E166" s="5">
        <v>56.0</v>
      </c>
      <c r="G166" s="11" t="s">
        <v>24</v>
      </c>
      <c r="H166" s="5">
        <v>56.0</v>
      </c>
      <c r="J166" s="5" t="s">
        <v>24</v>
      </c>
      <c r="K166" s="5">
        <v>49.86</v>
      </c>
      <c r="M166" s="5" t="s">
        <v>40</v>
      </c>
      <c r="N166" s="5">
        <v>50.13</v>
      </c>
      <c r="P166" s="5" t="s">
        <v>24</v>
      </c>
      <c r="Q166" s="5">
        <v>47.37</v>
      </c>
      <c r="S166" s="5" t="s">
        <v>42</v>
      </c>
      <c r="T166" s="5">
        <v>46.55</v>
      </c>
    </row>
    <row r="167">
      <c r="A167" s="5" t="s">
        <v>40</v>
      </c>
      <c r="B167" s="5">
        <v>46.0</v>
      </c>
      <c r="D167" s="5" t="s">
        <v>40</v>
      </c>
      <c r="E167" s="5">
        <v>46.0</v>
      </c>
      <c r="G167" s="11" t="s">
        <v>40</v>
      </c>
      <c r="H167" s="5">
        <v>50.0</v>
      </c>
      <c r="J167" s="5" t="s">
        <v>40</v>
      </c>
      <c r="K167" s="5">
        <v>49.61</v>
      </c>
      <c r="M167" s="5" t="s">
        <v>24</v>
      </c>
      <c r="N167" s="5">
        <v>48.06</v>
      </c>
      <c r="P167" s="5" t="s">
        <v>47</v>
      </c>
      <c r="Q167" s="5">
        <v>46.54</v>
      </c>
      <c r="S167" s="5" t="s">
        <v>47</v>
      </c>
      <c r="T167" s="5">
        <v>45.53</v>
      </c>
    </row>
    <row r="168">
      <c r="A168" s="5" t="s">
        <v>142</v>
      </c>
      <c r="B168" s="5">
        <v>40.0</v>
      </c>
      <c r="D168" s="5" t="s">
        <v>33</v>
      </c>
      <c r="E168" s="5">
        <v>41.0</v>
      </c>
      <c r="G168" s="11" t="s">
        <v>42</v>
      </c>
      <c r="H168" s="5">
        <v>43.0</v>
      </c>
      <c r="J168" s="5" t="s">
        <v>33</v>
      </c>
      <c r="K168" s="5">
        <v>46.44</v>
      </c>
      <c r="M168" s="5" t="s">
        <v>33</v>
      </c>
      <c r="N168" s="5">
        <v>45.9</v>
      </c>
      <c r="P168" s="5" t="s">
        <v>42</v>
      </c>
      <c r="Q168" s="5">
        <v>45.06</v>
      </c>
      <c r="S168" s="5" t="s">
        <v>40</v>
      </c>
      <c r="T168" s="5">
        <v>44.77</v>
      </c>
    </row>
    <row r="169">
      <c r="A169" s="5" t="s">
        <v>42</v>
      </c>
      <c r="B169" s="5">
        <v>39.0</v>
      </c>
      <c r="D169" s="5" t="s">
        <v>172</v>
      </c>
      <c r="E169" s="5">
        <v>40.0</v>
      </c>
      <c r="G169" s="11" t="s">
        <v>45</v>
      </c>
      <c r="H169" s="5">
        <v>42.0</v>
      </c>
      <c r="J169" s="5" t="s">
        <v>42</v>
      </c>
      <c r="K169" s="5">
        <v>45.52</v>
      </c>
      <c r="M169" s="5" t="s">
        <v>42</v>
      </c>
      <c r="N169" s="5">
        <v>45.89</v>
      </c>
      <c r="P169" s="5" t="s">
        <v>33</v>
      </c>
      <c r="Q169" s="5">
        <v>45.03</v>
      </c>
      <c r="S169" s="5" t="s">
        <v>45</v>
      </c>
      <c r="T169" s="5">
        <v>40.09</v>
      </c>
    </row>
    <row r="170">
      <c r="A170" s="5" t="s">
        <v>172</v>
      </c>
      <c r="B170" s="5">
        <v>35.0</v>
      </c>
      <c r="D170" s="5" t="s">
        <v>42</v>
      </c>
      <c r="E170" s="5">
        <v>38.0</v>
      </c>
      <c r="G170" s="11" t="s">
        <v>47</v>
      </c>
      <c r="H170" s="5">
        <v>39.0</v>
      </c>
      <c r="J170" s="5" t="s">
        <v>45</v>
      </c>
      <c r="K170" s="5">
        <v>42.91</v>
      </c>
      <c r="M170" s="5" t="s">
        <v>47</v>
      </c>
      <c r="N170" s="5">
        <v>41.24</v>
      </c>
      <c r="P170" s="5" t="s">
        <v>40</v>
      </c>
      <c r="Q170" s="5">
        <v>44.79</v>
      </c>
      <c r="S170" s="5" t="s">
        <v>112</v>
      </c>
      <c r="T170" s="5">
        <v>39.52</v>
      </c>
    </row>
    <row r="171">
      <c r="A171" s="5" t="s">
        <v>62</v>
      </c>
      <c r="B171" s="5">
        <v>35.0</v>
      </c>
      <c r="D171" s="5" t="s">
        <v>45</v>
      </c>
      <c r="E171" s="5">
        <v>37.0</v>
      </c>
      <c r="G171" s="11" t="s">
        <v>33</v>
      </c>
      <c r="H171" s="5">
        <v>39.0</v>
      </c>
      <c r="J171" s="5" t="s">
        <v>47</v>
      </c>
      <c r="K171" s="5">
        <v>41.91</v>
      </c>
      <c r="M171" s="5" t="s">
        <v>45</v>
      </c>
      <c r="N171" s="5">
        <v>39.24</v>
      </c>
      <c r="P171" s="5" t="s">
        <v>45</v>
      </c>
      <c r="Q171" s="5">
        <v>43.34</v>
      </c>
      <c r="S171" s="5" t="s">
        <v>30</v>
      </c>
      <c r="T171" s="5">
        <v>35.9</v>
      </c>
    </row>
    <row r="172">
      <c r="A172" s="5" t="s">
        <v>145</v>
      </c>
      <c r="B172" s="5">
        <v>34.0</v>
      </c>
      <c r="D172" s="5" t="s">
        <v>30</v>
      </c>
      <c r="E172" s="5">
        <v>33.0</v>
      </c>
      <c r="G172" s="11" t="s">
        <v>55</v>
      </c>
      <c r="H172" s="5">
        <v>39.0</v>
      </c>
      <c r="J172" s="5" t="s">
        <v>55</v>
      </c>
      <c r="K172" s="5">
        <v>37.63</v>
      </c>
      <c r="M172" s="5" t="s">
        <v>112</v>
      </c>
      <c r="N172" s="5">
        <v>37.99</v>
      </c>
      <c r="P172" s="5" t="s">
        <v>142</v>
      </c>
      <c r="Q172" s="5">
        <v>42.86</v>
      </c>
      <c r="S172" s="5" t="s">
        <v>33</v>
      </c>
      <c r="T172" s="5">
        <v>33.66</v>
      </c>
    </row>
    <row r="173">
      <c r="A173" s="5" t="s">
        <v>45</v>
      </c>
      <c r="B173" s="5">
        <v>33.0</v>
      </c>
      <c r="D173" s="5" t="s">
        <v>51</v>
      </c>
      <c r="E173" s="5">
        <v>32.0</v>
      </c>
      <c r="G173" s="11" t="s">
        <v>143</v>
      </c>
      <c r="H173" s="5">
        <v>39.0</v>
      </c>
      <c r="J173" s="5" t="s">
        <v>30</v>
      </c>
      <c r="K173" s="5">
        <v>35.63</v>
      </c>
      <c r="M173" s="5" t="s">
        <v>55</v>
      </c>
      <c r="N173" s="5">
        <v>37.89</v>
      </c>
      <c r="P173" s="5" t="s">
        <v>112</v>
      </c>
      <c r="Q173" s="5">
        <v>35.58</v>
      </c>
      <c r="S173" s="5" t="s">
        <v>142</v>
      </c>
      <c r="T173" s="5">
        <v>32.17</v>
      </c>
    </row>
    <row r="174">
      <c r="A174" s="5" t="s">
        <v>187</v>
      </c>
      <c r="B174" s="5">
        <v>33.0</v>
      </c>
      <c r="D174" s="5" t="s">
        <v>112</v>
      </c>
      <c r="E174" s="5">
        <v>30.0</v>
      </c>
      <c r="G174" s="11" t="s">
        <v>30</v>
      </c>
      <c r="H174" s="5">
        <v>36.0</v>
      </c>
      <c r="J174" s="5" t="s">
        <v>112</v>
      </c>
      <c r="K174" s="5">
        <v>32.51</v>
      </c>
      <c r="M174" s="5" t="s">
        <v>142</v>
      </c>
      <c r="N174" s="5">
        <v>36.54</v>
      </c>
      <c r="P174" s="5" t="s">
        <v>55</v>
      </c>
      <c r="Q174" s="5">
        <v>34.24</v>
      </c>
      <c r="S174" s="5" t="s">
        <v>64</v>
      </c>
      <c r="T174" s="5">
        <v>32.06</v>
      </c>
    </row>
    <row r="177">
      <c r="A177" s="3" t="s">
        <v>144</v>
      </c>
      <c r="B177" s="46"/>
      <c r="C177" s="46"/>
      <c r="D177" s="46"/>
    </row>
    <row r="178">
      <c r="A178" s="8" t="s">
        <v>12</v>
      </c>
      <c r="D178" s="8" t="s">
        <v>122</v>
      </c>
      <c r="G178" s="8" t="s">
        <v>123</v>
      </c>
      <c r="J178" s="8" t="s">
        <v>124</v>
      </c>
      <c r="M178" s="8" t="s">
        <v>125</v>
      </c>
      <c r="P178" s="8" t="s">
        <v>116</v>
      </c>
      <c r="S178" s="8" t="s">
        <v>5</v>
      </c>
    </row>
    <row r="179">
      <c r="A179" s="5" t="s">
        <v>170</v>
      </c>
      <c r="B179" s="5">
        <v>0.1</v>
      </c>
      <c r="D179" s="5" t="s">
        <v>170</v>
      </c>
      <c r="E179" s="5">
        <v>0.07</v>
      </c>
      <c r="G179" s="5" t="s">
        <v>170</v>
      </c>
      <c r="H179" s="5">
        <v>0.17</v>
      </c>
      <c r="J179" s="5" t="s">
        <v>170</v>
      </c>
      <c r="K179" s="5">
        <v>0.17</v>
      </c>
      <c r="M179" s="5" t="s">
        <v>170</v>
      </c>
      <c r="N179" s="5">
        <v>0.02</v>
      </c>
      <c r="P179" s="5" t="s">
        <v>112</v>
      </c>
      <c r="Q179" s="5">
        <v>0.49</v>
      </c>
      <c r="S179" s="5" t="s">
        <v>112</v>
      </c>
      <c r="T179" s="5">
        <v>0.46</v>
      </c>
    </row>
    <row r="180">
      <c r="A180" s="5" t="s">
        <v>112</v>
      </c>
      <c r="B180" s="5">
        <v>0.46</v>
      </c>
      <c r="D180" s="5" t="s">
        <v>112</v>
      </c>
      <c r="E180" s="5">
        <v>0.44</v>
      </c>
      <c r="G180" s="5" t="s">
        <v>112</v>
      </c>
      <c r="H180" s="5">
        <v>0.36</v>
      </c>
      <c r="J180" s="5" t="s">
        <v>188</v>
      </c>
      <c r="K180" s="5">
        <v>0.19</v>
      </c>
      <c r="M180" s="5" t="s">
        <v>112</v>
      </c>
      <c r="N180" s="5">
        <v>0.46</v>
      </c>
      <c r="P180" s="5" t="s">
        <v>30</v>
      </c>
      <c r="Q180" s="5">
        <v>0.76</v>
      </c>
      <c r="S180" s="5" t="s">
        <v>30</v>
      </c>
      <c r="T180" s="5">
        <v>0.65</v>
      </c>
    </row>
    <row r="181">
      <c r="A181" s="5" t="s">
        <v>30</v>
      </c>
      <c r="B181" s="5">
        <v>0.61</v>
      </c>
      <c r="D181" s="5" t="s">
        <v>30</v>
      </c>
      <c r="E181" s="5">
        <v>0.64</v>
      </c>
      <c r="G181" s="5" t="s">
        <v>30</v>
      </c>
      <c r="H181" s="5">
        <v>0.72</v>
      </c>
      <c r="J181" s="5" t="s">
        <v>112</v>
      </c>
      <c r="K181" s="5">
        <v>0.4</v>
      </c>
      <c r="M181" s="5" t="s">
        <v>30</v>
      </c>
      <c r="N181" s="5">
        <v>0.94</v>
      </c>
      <c r="P181" s="5" t="s">
        <v>33</v>
      </c>
      <c r="Q181" s="5">
        <v>1.51</v>
      </c>
      <c r="S181" s="5" t="s">
        <v>33</v>
      </c>
      <c r="T181" s="5">
        <v>1.25</v>
      </c>
    </row>
    <row r="182">
      <c r="A182" s="5" t="s">
        <v>33</v>
      </c>
      <c r="B182" s="5">
        <v>1.87</v>
      </c>
      <c r="D182" s="5" t="s">
        <v>33</v>
      </c>
      <c r="E182" s="5">
        <v>1.1</v>
      </c>
      <c r="G182" s="5" t="s">
        <v>33</v>
      </c>
      <c r="H182" s="5">
        <v>1.56</v>
      </c>
      <c r="J182" s="5" t="s">
        <v>30</v>
      </c>
      <c r="K182" s="5">
        <v>0.76</v>
      </c>
      <c r="M182" s="5" t="s">
        <v>33</v>
      </c>
      <c r="N182" s="5">
        <v>1.45</v>
      </c>
      <c r="P182" s="5" t="s">
        <v>24</v>
      </c>
      <c r="Q182" s="5">
        <v>2.65</v>
      </c>
      <c r="S182" s="5" t="s">
        <v>24</v>
      </c>
      <c r="T182" s="5">
        <v>2.96</v>
      </c>
    </row>
    <row r="183">
      <c r="A183" s="5" t="s">
        <v>24</v>
      </c>
      <c r="B183" s="5">
        <v>2.61</v>
      </c>
      <c r="D183" s="5" t="s">
        <v>24</v>
      </c>
      <c r="E183" s="5">
        <v>3.53</v>
      </c>
      <c r="G183" s="5" t="s">
        <v>24</v>
      </c>
      <c r="H183" s="5">
        <v>2.76</v>
      </c>
      <c r="J183" s="5" t="s">
        <v>33</v>
      </c>
      <c r="K183" s="5">
        <v>1.74</v>
      </c>
      <c r="M183" s="5" t="s">
        <v>24</v>
      </c>
      <c r="N183" s="5">
        <v>3.13</v>
      </c>
      <c r="P183" s="5" t="s">
        <v>142</v>
      </c>
      <c r="Q183" s="5">
        <v>7.81</v>
      </c>
      <c r="S183" s="5" t="s">
        <v>142</v>
      </c>
      <c r="T183" s="5">
        <v>13.99</v>
      </c>
    </row>
    <row r="184">
      <c r="A184" s="5" t="s">
        <v>40</v>
      </c>
      <c r="B184" s="5">
        <v>4.56</v>
      </c>
      <c r="D184" s="5" t="s">
        <v>40</v>
      </c>
      <c r="E184" s="5">
        <v>11.29</v>
      </c>
      <c r="G184" s="5" t="s">
        <v>40</v>
      </c>
      <c r="H184" s="5">
        <v>5.22</v>
      </c>
      <c r="J184" s="5" t="s">
        <v>24</v>
      </c>
      <c r="K184" s="5">
        <v>2.31</v>
      </c>
      <c r="M184" s="5" t="s">
        <v>188</v>
      </c>
      <c r="N184" s="5">
        <v>5.78</v>
      </c>
      <c r="P184" s="5" t="s">
        <v>143</v>
      </c>
      <c r="Q184" s="5">
        <v>14.2</v>
      </c>
      <c r="S184" s="5" t="s">
        <v>42</v>
      </c>
      <c r="T184" s="5">
        <v>20.82</v>
      </c>
    </row>
    <row r="185">
      <c r="A185" s="5" t="s">
        <v>143</v>
      </c>
      <c r="B185" s="5">
        <v>11.36</v>
      </c>
      <c r="D185" s="5" t="s">
        <v>42</v>
      </c>
      <c r="E185" s="5">
        <v>14.35</v>
      </c>
      <c r="G185" s="5" t="s">
        <v>143</v>
      </c>
      <c r="H185" s="5">
        <v>14.25</v>
      </c>
      <c r="J185" s="5" t="s">
        <v>143</v>
      </c>
      <c r="K185" s="5">
        <v>14.79</v>
      </c>
      <c r="M185" s="5" t="s">
        <v>143</v>
      </c>
      <c r="N185" s="5">
        <v>14.24</v>
      </c>
      <c r="P185" s="5" t="s">
        <v>42</v>
      </c>
      <c r="Q185" s="5">
        <v>17.98</v>
      </c>
      <c r="S185" s="5" t="s">
        <v>143</v>
      </c>
      <c r="T185" s="5">
        <v>23.56</v>
      </c>
    </row>
    <row r="186">
      <c r="A186" s="5" t="s">
        <v>42</v>
      </c>
      <c r="B186" s="5">
        <v>15.42</v>
      </c>
      <c r="D186" s="5" t="s">
        <v>143</v>
      </c>
      <c r="E186" s="5">
        <v>15.91</v>
      </c>
      <c r="G186" s="5" t="s">
        <v>42</v>
      </c>
      <c r="H186" s="5">
        <v>15.81</v>
      </c>
      <c r="J186" s="5" t="s">
        <v>40</v>
      </c>
      <c r="K186" s="5">
        <v>14.92</v>
      </c>
      <c r="M186" s="5" t="s">
        <v>40</v>
      </c>
      <c r="N186" s="5">
        <v>15.37</v>
      </c>
      <c r="P186" s="5" t="s">
        <v>45</v>
      </c>
      <c r="Q186" s="5">
        <v>20.12</v>
      </c>
      <c r="S186" s="5" t="s">
        <v>40</v>
      </c>
      <c r="T186" s="5">
        <v>40.29</v>
      </c>
    </row>
    <row r="187">
      <c r="A187" s="5" t="s">
        <v>188</v>
      </c>
      <c r="B187" s="5">
        <v>16.97</v>
      </c>
      <c r="D187" s="5" t="s">
        <v>45</v>
      </c>
      <c r="E187" s="5">
        <v>18.2</v>
      </c>
      <c r="G187" s="5" t="s">
        <v>45</v>
      </c>
      <c r="H187" s="5">
        <v>17.51</v>
      </c>
      <c r="J187" s="5" t="s">
        <v>42</v>
      </c>
      <c r="K187" s="5">
        <v>16.24</v>
      </c>
      <c r="M187" s="5" t="s">
        <v>42</v>
      </c>
      <c r="N187" s="5">
        <v>15.8</v>
      </c>
      <c r="P187" s="5" t="s">
        <v>145</v>
      </c>
      <c r="Q187" s="5">
        <v>22.06</v>
      </c>
      <c r="S187" s="5" t="s">
        <v>45</v>
      </c>
      <c r="T187" s="5">
        <v>40.66</v>
      </c>
    </row>
    <row r="188">
      <c r="A188" s="5" t="s">
        <v>145</v>
      </c>
      <c r="B188" s="5">
        <v>17.14</v>
      </c>
      <c r="D188" s="5" t="s">
        <v>53</v>
      </c>
      <c r="E188" s="5">
        <v>18.98</v>
      </c>
      <c r="G188" s="5" t="s">
        <v>145</v>
      </c>
      <c r="H188" s="5">
        <v>17.67</v>
      </c>
      <c r="J188" s="5" t="s">
        <v>45</v>
      </c>
      <c r="K188" s="5">
        <v>18.59</v>
      </c>
      <c r="M188" s="5" t="s">
        <v>142</v>
      </c>
      <c r="N188" s="5">
        <v>16.47</v>
      </c>
      <c r="P188" s="5" t="s">
        <v>53</v>
      </c>
      <c r="Q188" s="5">
        <v>24.54</v>
      </c>
      <c r="S188" s="5" t="s">
        <v>53</v>
      </c>
      <c r="T188" s="5">
        <v>43.94</v>
      </c>
    </row>
    <row r="191">
      <c r="A191" s="3" t="s">
        <v>146</v>
      </c>
      <c r="B191" s="46"/>
      <c r="C191" s="46"/>
      <c r="D191" s="46"/>
    </row>
    <row r="192">
      <c r="A192" s="8" t="s">
        <v>12</v>
      </c>
      <c r="D192" s="8" t="s">
        <v>122</v>
      </c>
      <c r="G192" s="8" t="s">
        <v>123</v>
      </c>
      <c r="J192" s="8" t="s">
        <v>124</v>
      </c>
      <c r="M192" s="8" t="s">
        <v>125</v>
      </c>
      <c r="P192" s="8" t="s">
        <v>116</v>
      </c>
      <c r="S192" s="8" t="s">
        <v>5</v>
      </c>
    </row>
    <row r="193">
      <c r="A193" s="5" t="s">
        <v>177</v>
      </c>
      <c r="B193" s="5">
        <v>0.01</v>
      </c>
      <c r="D193" s="5" t="s">
        <v>170</v>
      </c>
      <c r="E193" s="5">
        <v>0.13</v>
      </c>
      <c r="G193" s="5" t="s">
        <v>170</v>
      </c>
      <c r="H193" s="5">
        <v>0.19</v>
      </c>
      <c r="J193" s="5" t="s">
        <v>170</v>
      </c>
      <c r="K193" s="5">
        <v>0.17</v>
      </c>
      <c r="M193" s="5" t="s">
        <v>170</v>
      </c>
      <c r="N193" s="5">
        <v>0.06</v>
      </c>
      <c r="P193" s="5" t="s">
        <v>112</v>
      </c>
      <c r="Q193" s="5">
        <v>0.43</v>
      </c>
      <c r="S193" s="5" t="s">
        <v>112</v>
      </c>
      <c r="T193" s="5">
        <v>0.4</v>
      </c>
    </row>
    <row r="194">
      <c r="A194" s="5" t="s">
        <v>170</v>
      </c>
      <c r="B194" s="5">
        <v>0.13</v>
      </c>
      <c r="D194" s="5" t="s">
        <v>112</v>
      </c>
      <c r="E194" s="5">
        <v>0.38</v>
      </c>
      <c r="G194" s="5" t="s">
        <v>112</v>
      </c>
      <c r="H194" s="5">
        <v>0.34</v>
      </c>
      <c r="J194" s="5" t="s">
        <v>112</v>
      </c>
      <c r="K194" s="5">
        <v>0.36</v>
      </c>
      <c r="M194" s="5" t="s">
        <v>112</v>
      </c>
      <c r="N194" s="5">
        <v>0.39</v>
      </c>
      <c r="P194" s="5" t="s">
        <v>30</v>
      </c>
      <c r="Q194" s="5">
        <v>0.57</v>
      </c>
      <c r="S194" s="5" t="s">
        <v>30</v>
      </c>
      <c r="T194" s="5">
        <v>0.55</v>
      </c>
    </row>
    <row r="195">
      <c r="A195" s="5" t="s">
        <v>112</v>
      </c>
      <c r="B195" s="5">
        <v>0.36</v>
      </c>
      <c r="D195" s="5" t="s">
        <v>30</v>
      </c>
      <c r="E195" s="5">
        <v>0.54</v>
      </c>
      <c r="G195" s="5" t="s">
        <v>30</v>
      </c>
      <c r="H195" s="5">
        <v>0.57</v>
      </c>
      <c r="J195" s="5" t="s">
        <v>30</v>
      </c>
      <c r="K195" s="5">
        <v>0.57</v>
      </c>
      <c r="M195" s="5" t="s">
        <v>30</v>
      </c>
      <c r="N195" s="5">
        <v>0.65</v>
      </c>
      <c r="P195" s="5" t="s">
        <v>24</v>
      </c>
      <c r="Q195" s="5">
        <v>0.76</v>
      </c>
      <c r="S195" s="5" t="s">
        <v>24</v>
      </c>
      <c r="T195" s="5">
        <v>0.79</v>
      </c>
    </row>
    <row r="196">
      <c r="A196" s="5" t="s">
        <v>189</v>
      </c>
      <c r="B196" s="5">
        <v>0.52</v>
      </c>
      <c r="D196" s="5" t="s">
        <v>24</v>
      </c>
      <c r="E196" s="5">
        <v>1.09</v>
      </c>
      <c r="G196" s="5" t="s">
        <v>24</v>
      </c>
      <c r="H196" s="5">
        <v>1.07</v>
      </c>
      <c r="J196" s="5" t="s">
        <v>24</v>
      </c>
      <c r="K196" s="5">
        <v>0.73</v>
      </c>
      <c r="M196" s="5" t="s">
        <v>145</v>
      </c>
      <c r="N196" s="5">
        <v>0.9</v>
      </c>
      <c r="P196" s="5" t="s">
        <v>145</v>
      </c>
      <c r="Q196" s="5">
        <v>1.21</v>
      </c>
      <c r="S196" s="5" t="s">
        <v>145</v>
      </c>
      <c r="T196" s="5">
        <v>1.82</v>
      </c>
    </row>
    <row r="197">
      <c r="A197" s="5" t="s">
        <v>30</v>
      </c>
      <c r="B197" s="5">
        <v>0.53</v>
      </c>
      <c r="D197" s="5" t="s">
        <v>145</v>
      </c>
      <c r="E197" s="5">
        <v>1.33</v>
      </c>
      <c r="G197" s="5" t="s">
        <v>40</v>
      </c>
      <c r="H197" s="5">
        <v>1.99</v>
      </c>
      <c r="J197" s="5" t="s">
        <v>142</v>
      </c>
      <c r="K197" s="5">
        <v>2.15</v>
      </c>
      <c r="M197" s="5" t="s">
        <v>24</v>
      </c>
      <c r="N197" s="5">
        <v>0.93</v>
      </c>
      <c r="P197" s="5" t="s">
        <v>142</v>
      </c>
      <c r="Q197" s="5">
        <v>2.53</v>
      </c>
      <c r="S197" s="5" t="s">
        <v>142</v>
      </c>
      <c r="T197" s="5">
        <v>2.56</v>
      </c>
    </row>
    <row r="198">
      <c r="A198" s="5" t="s">
        <v>190</v>
      </c>
      <c r="B198" s="5">
        <v>0.82</v>
      </c>
      <c r="D198" s="5" t="s">
        <v>40</v>
      </c>
      <c r="E198" s="5">
        <v>1.92</v>
      </c>
      <c r="G198" s="5" t="s">
        <v>145</v>
      </c>
      <c r="H198" s="5">
        <v>2.48</v>
      </c>
      <c r="J198" s="5" t="s">
        <v>145</v>
      </c>
      <c r="K198" s="5">
        <v>2.75</v>
      </c>
      <c r="M198" s="5" t="s">
        <v>188</v>
      </c>
      <c r="N198" s="5">
        <v>1.45</v>
      </c>
      <c r="P198" s="5" t="s">
        <v>143</v>
      </c>
      <c r="Q198" s="5">
        <v>2.76</v>
      </c>
      <c r="S198" s="5" t="s">
        <v>33</v>
      </c>
      <c r="T198" s="5">
        <v>3.86</v>
      </c>
    </row>
    <row r="199">
      <c r="A199" s="5" t="s">
        <v>24</v>
      </c>
      <c r="B199" s="5">
        <v>1.02</v>
      </c>
      <c r="D199" s="5" t="s">
        <v>33</v>
      </c>
      <c r="E199" s="5">
        <v>2.2</v>
      </c>
      <c r="G199" s="5" t="s">
        <v>42</v>
      </c>
      <c r="H199" s="5">
        <v>3.35</v>
      </c>
      <c r="J199" s="5" t="s">
        <v>40</v>
      </c>
      <c r="K199" s="5">
        <v>3.09</v>
      </c>
      <c r="M199" s="5" t="s">
        <v>40</v>
      </c>
      <c r="N199" s="5">
        <v>2.12</v>
      </c>
      <c r="P199" s="5" t="s">
        <v>33</v>
      </c>
      <c r="Q199" s="5">
        <v>4.07</v>
      </c>
      <c r="S199" s="5" t="s">
        <v>143</v>
      </c>
      <c r="T199" s="5">
        <v>10.65</v>
      </c>
    </row>
    <row r="200">
      <c r="A200" s="5" t="s">
        <v>147</v>
      </c>
      <c r="B200" s="5">
        <v>1.38</v>
      </c>
      <c r="D200" s="5" t="s">
        <v>42</v>
      </c>
      <c r="E200" s="5">
        <v>2.79</v>
      </c>
      <c r="G200" s="5" t="s">
        <v>33</v>
      </c>
      <c r="H200" s="5">
        <v>3.97</v>
      </c>
      <c r="J200" s="5" t="s">
        <v>188</v>
      </c>
      <c r="K200" s="5">
        <v>3.75</v>
      </c>
      <c r="M200" s="5" t="s">
        <v>143</v>
      </c>
      <c r="N200" s="5">
        <v>3.49</v>
      </c>
      <c r="P200" s="5" t="s">
        <v>42</v>
      </c>
      <c r="Q200" s="5">
        <v>8.61</v>
      </c>
      <c r="S200" s="5" t="s">
        <v>147</v>
      </c>
      <c r="T200" s="5">
        <v>16.09</v>
      </c>
    </row>
    <row r="201">
      <c r="A201" s="5" t="s">
        <v>142</v>
      </c>
      <c r="B201" s="5">
        <v>1.5</v>
      </c>
      <c r="D201" s="5" t="s">
        <v>47</v>
      </c>
      <c r="E201" s="5">
        <v>5.86</v>
      </c>
      <c r="G201" s="5" t="s">
        <v>45</v>
      </c>
      <c r="H201" s="5">
        <v>4.39</v>
      </c>
      <c r="J201" s="5" t="s">
        <v>33</v>
      </c>
      <c r="K201" s="5">
        <v>4.04</v>
      </c>
      <c r="M201" s="5" t="s">
        <v>142</v>
      </c>
      <c r="N201" s="5">
        <v>4.16</v>
      </c>
      <c r="P201" s="5" t="s">
        <v>45</v>
      </c>
      <c r="Q201" s="5">
        <v>14.92</v>
      </c>
      <c r="S201" s="5" t="s">
        <v>42</v>
      </c>
      <c r="T201" s="5">
        <v>16.74</v>
      </c>
    </row>
    <row r="202">
      <c r="A202" s="5" t="s">
        <v>192</v>
      </c>
      <c r="B202" s="5">
        <v>1.62</v>
      </c>
      <c r="D202" s="5" t="s">
        <v>45</v>
      </c>
      <c r="E202" s="5">
        <v>8.4</v>
      </c>
      <c r="G202" s="5" t="s">
        <v>143</v>
      </c>
      <c r="H202" s="5">
        <v>12.51</v>
      </c>
      <c r="J202" s="5" t="s">
        <v>60</v>
      </c>
      <c r="K202" s="5">
        <v>4.68</v>
      </c>
      <c r="M202" s="5" t="s">
        <v>33</v>
      </c>
      <c r="N202" s="5">
        <v>4.26</v>
      </c>
      <c r="P202" s="5" t="s">
        <v>62</v>
      </c>
      <c r="Q202" s="5">
        <v>16.09</v>
      </c>
      <c r="S202" s="5" t="s">
        <v>51</v>
      </c>
      <c r="T202" s="5">
        <v>20.72</v>
      </c>
    </row>
    <row r="206">
      <c r="A206" s="3" t="s">
        <v>193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</row>
    <row r="209">
      <c r="J209" s="5" t="s">
        <v>194</v>
      </c>
    </row>
    <row r="211">
      <c r="J211" s="5" t="s">
        <v>195</v>
      </c>
    </row>
    <row r="220">
      <c r="L220" s="58"/>
    </row>
    <row r="221">
      <c r="J221" s="5" t="s">
        <v>196</v>
      </c>
    </row>
    <row r="235">
      <c r="J235" s="5" t="s">
        <v>197</v>
      </c>
    </row>
    <row r="237">
      <c r="J237" s="5" t="s">
        <v>198</v>
      </c>
    </row>
  </sheetData>
  <mergeCells count="13">
    <mergeCell ref="A75:B75"/>
    <mergeCell ref="A83:B83"/>
    <mergeCell ref="A99:B99"/>
    <mergeCell ref="A115:B115"/>
    <mergeCell ref="A139:D139"/>
    <mergeCell ref="A156:D156"/>
    <mergeCell ref="A1:B1"/>
    <mergeCell ref="A5:B5"/>
    <mergeCell ref="A17:B17"/>
    <mergeCell ref="A21:B21"/>
    <mergeCell ref="A37:B37"/>
    <mergeCell ref="A60:B60"/>
    <mergeCell ref="C75:D7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175</v>
      </c>
    </row>
    <row r="3">
      <c r="A3" s="14" t="s">
        <v>11</v>
      </c>
      <c r="B3" s="14"/>
      <c r="C3" s="14"/>
      <c r="D3" s="14"/>
      <c r="E3" s="14" t="s">
        <v>12</v>
      </c>
      <c r="F3" s="14"/>
      <c r="G3" s="14" t="s">
        <v>13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 t="s">
        <v>14</v>
      </c>
      <c r="S3" s="14"/>
      <c r="T3" s="18" t="s">
        <v>114</v>
      </c>
      <c r="U3" s="14"/>
      <c r="V3" s="14"/>
      <c r="W3" s="18" t="s">
        <v>115</v>
      </c>
      <c r="X3" s="14"/>
      <c r="Y3" s="14"/>
      <c r="Z3" s="18" t="s">
        <v>116</v>
      </c>
      <c r="AA3" s="14"/>
      <c r="AB3" s="14"/>
      <c r="AC3" s="18" t="s">
        <v>117</v>
      </c>
      <c r="AD3" s="14"/>
      <c r="AE3" s="14"/>
      <c r="AF3" s="18" t="s">
        <v>6</v>
      </c>
      <c r="AG3" s="14"/>
      <c r="AH3" s="14"/>
      <c r="AI3" s="18" t="s">
        <v>7</v>
      </c>
      <c r="AJ3" s="14"/>
      <c r="AK3" s="14"/>
      <c r="AL3" s="18" t="s">
        <v>118</v>
      </c>
      <c r="AM3" s="14"/>
      <c r="AN3" s="14"/>
      <c r="AO3" s="18" t="s">
        <v>119</v>
      </c>
      <c r="AP3" s="14"/>
    </row>
    <row r="4">
      <c r="A4" s="14" t="s">
        <v>24</v>
      </c>
      <c r="B4" s="57">
        <v>0.285</v>
      </c>
      <c r="C4" s="14"/>
      <c r="D4" s="14" t="s">
        <v>24</v>
      </c>
      <c r="E4" s="57">
        <v>0.301</v>
      </c>
      <c r="F4" s="14"/>
      <c r="G4" s="57">
        <v>0.209</v>
      </c>
      <c r="H4" s="14"/>
      <c r="I4" s="14" t="s">
        <v>24</v>
      </c>
      <c r="J4" s="14"/>
      <c r="K4" s="14"/>
      <c r="L4" s="14"/>
      <c r="M4" s="14"/>
      <c r="N4" s="14"/>
      <c r="O4" s="14"/>
      <c r="P4" s="14"/>
      <c r="Q4" s="14" t="s">
        <v>24</v>
      </c>
      <c r="R4" s="57">
        <v>0.234</v>
      </c>
      <c r="S4" s="14"/>
      <c r="T4" s="14" t="s">
        <v>24</v>
      </c>
      <c r="U4" s="57">
        <v>0.224</v>
      </c>
      <c r="V4" s="14"/>
      <c r="W4" s="14" t="s">
        <v>169</v>
      </c>
      <c r="X4" s="57">
        <v>0.211</v>
      </c>
      <c r="Y4" s="14"/>
      <c r="Z4" s="14" t="s">
        <v>24</v>
      </c>
      <c r="AA4" s="49">
        <v>0.14</v>
      </c>
      <c r="AB4" s="14"/>
      <c r="AC4" s="14" t="s">
        <v>169</v>
      </c>
      <c r="AD4" s="26">
        <v>0.149</v>
      </c>
      <c r="AE4" s="14"/>
      <c r="AF4" s="14" t="s">
        <v>169</v>
      </c>
      <c r="AG4" s="26">
        <v>0.18</v>
      </c>
      <c r="AH4" s="14"/>
      <c r="AI4" s="14" t="s">
        <v>24</v>
      </c>
      <c r="AJ4" s="26">
        <v>0.249</v>
      </c>
      <c r="AK4" s="56"/>
      <c r="AL4" s="14" t="s">
        <v>24</v>
      </c>
      <c r="AM4" s="26">
        <v>0.218</v>
      </c>
      <c r="AN4" s="56"/>
      <c r="AO4" s="14" t="s">
        <v>169</v>
      </c>
      <c r="AP4" s="26">
        <v>0.184</v>
      </c>
    </row>
    <row r="5">
      <c r="A5" s="14" t="s">
        <v>169</v>
      </c>
      <c r="B5" s="57">
        <v>0.106</v>
      </c>
      <c r="C5" s="14"/>
      <c r="D5" s="14" t="s">
        <v>169</v>
      </c>
      <c r="E5" s="57">
        <v>0.113</v>
      </c>
      <c r="F5" s="14"/>
      <c r="G5" s="57">
        <v>0.115</v>
      </c>
      <c r="H5" s="14"/>
      <c r="I5" s="14" t="s">
        <v>42</v>
      </c>
      <c r="J5" s="14"/>
      <c r="K5" s="14"/>
      <c r="L5" s="14"/>
      <c r="M5" s="14"/>
      <c r="N5" s="14"/>
      <c r="O5" s="14"/>
      <c r="P5" s="14"/>
      <c r="Q5" s="14" t="s">
        <v>171</v>
      </c>
      <c r="R5" s="57">
        <v>0.139</v>
      </c>
      <c r="S5" s="14"/>
      <c r="T5" s="14" t="s">
        <v>169</v>
      </c>
      <c r="U5" s="57">
        <v>0.194</v>
      </c>
      <c r="V5" s="14"/>
      <c r="W5" s="14" t="s">
        <v>24</v>
      </c>
      <c r="X5" s="49">
        <v>0.14</v>
      </c>
      <c r="Y5" s="14"/>
      <c r="Z5" s="14" t="s">
        <v>42</v>
      </c>
      <c r="AA5" s="57">
        <v>0.129</v>
      </c>
      <c r="AB5" s="14"/>
      <c r="AC5" s="14" t="s">
        <v>42</v>
      </c>
      <c r="AD5" s="26">
        <v>0.133</v>
      </c>
      <c r="AE5" s="14"/>
      <c r="AF5" s="14" t="s">
        <v>24</v>
      </c>
      <c r="AG5" s="26">
        <v>0.178</v>
      </c>
      <c r="AH5" s="14"/>
      <c r="AI5" s="14" t="s">
        <v>42</v>
      </c>
      <c r="AJ5" s="26">
        <v>0.111</v>
      </c>
      <c r="AK5" s="56"/>
      <c r="AL5" s="14" t="s">
        <v>42</v>
      </c>
      <c r="AM5" s="26">
        <v>0.135</v>
      </c>
      <c r="AN5" s="56"/>
      <c r="AO5" s="14" t="s">
        <v>24</v>
      </c>
      <c r="AP5" s="26">
        <v>0.152</v>
      </c>
    </row>
    <row r="6">
      <c r="A6" s="14" t="s">
        <v>171</v>
      </c>
      <c r="B6" s="57">
        <v>0.097</v>
      </c>
      <c r="C6" s="14"/>
      <c r="D6" s="14" t="s">
        <v>171</v>
      </c>
      <c r="E6" s="57">
        <v>0.099</v>
      </c>
      <c r="F6" s="14"/>
      <c r="G6" s="57">
        <v>0.113</v>
      </c>
      <c r="H6" s="14"/>
      <c r="I6" s="14" t="s">
        <v>169</v>
      </c>
      <c r="J6" s="14"/>
      <c r="K6" s="14"/>
      <c r="L6" s="14"/>
      <c r="M6" s="14"/>
      <c r="N6" s="14"/>
      <c r="O6" s="14"/>
      <c r="P6" s="14"/>
      <c r="Q6" s="14" t="s">
        <v>169</v>
      </c>
      <c r="R6" s="49">
        <v>0.12</v>
      </c>
      <c r="S6" s="14"/>
      <c r="T6" s="14" t="s">
        <v>42</v>
      </c>
      <c r="U6" s="57">
        <v>0.153</v>
      </c>
      <c r="V6" s="14"/>
      <c r="W6" s="14" t="s">
        <v>177</v>
      </c>
      <c r="X6" s="57">
        <v>0.126</v>
      </c>
      <c r="Y6" s="14"/>
      <c r="Z6" s="14" t="s">
        <v>169</v>
      </c>
      <c r="AA6" s="57">
        <v>0.108</v>
      </c>
      <c r="AB6" s="14"/>
      <c r="AC6" s="14" t="s">
        <v>24</v>
      </c>
      <c r="AD6" s="26">
        <v>0.121</v>
      </c>
      <c r="AE6" s="14"/>
      <c r="AF6" s="14" t="s">
        <v>42</v>
      </c>
      <c r="AG6" s="26">
        <v>0.153</v>
      </c>
      <c r="AH6" s="14"/>
      <c r="AI6" s="14" t="s">
        <v>169</v>
      </c>
      <c r="AJ6" s="26">
        <v>0.089</v>
      </c>
      <c r="AK6" s="56"/>
      <c r="AL6" s="14" t="s">
        <v>169</v>
      </c>
      <c r="AM6" s="26">
        <v>0.104</v>
      </c>
      <c r="AN6" s="56"/>
      <c r="AO6" s="14" t="s">
        <v>42</v>
      </c>
      <c r="AP6" s="26">
        <v>0.158</v>
      </c>
    </row>
    <row r="7">
      <c r="A7" s="14" t="s">
        <v>42</v>
      </c>
      <c r="B7" s="49">
        <v>0.09</v>
      </c>
      <c r="C7" s="14"/>
      <c r="D7" s="14" t="s">
        <v>42</v>
      </c>
      <c r="E7" s="57">
        <v>0.076</v>
      </c>
      <c r="F7" s="14"/>
      <c r="G7" s="49">
        <v>0.11</v>
      </c>
      <c r="H7" s="14"/>
      <c r="I7" s="14" t="s">
        <v>171</v>
      </c>
      <c r="J7" s="14"/>
      <c r="K7" s="14"/>
      <c r="L7" s="14"/>
      <c r="M7" s="14"/>
      <c r="N7" s="14"/>
      <c r="O7" s="14"/>
      <c r="P7" s="14"/>
      <c r="Q7" s="14" t="s">
        <v>42</v>
      </c>
      <c r="R7" s="57">
        <v>0.079</v>
      </c>
      <c r="S7" s="14"/>
      <c r="T7" s="14" t="s">
        <v>170</v>
      </c>
      <c r="U7" s="57">
        <v>0.086</v>
      </c>
      <c r="V7" s="14"/>
      <c r="W7" s="14" t="s">
        <v>178</v>
      </c>
      <c r="X7" s="57">
        <v>0.098</v>
      </c>
      <c r="Y7" s="14"/>
      <c r="Z7" s="14" t="s">
        <v>173</v>
      </c>
      <c r="AA7" s="57">
        <v>0.074</v>
      </c>
      <c r="AB7" s="14"/>
      <c r="AC7" s="14" t="s">
        <v>57</v>
      </c>
      <c r="AD7" s="26">
        <v>0.077</v>
      </c>
      <c r="AE7" s="14"/>
      <c r="AF7" s="14" t="s">
        <v>170</v>
      </c>
      <c r="AG7" s="26">
        <v>0.078</v>
      </c>
      <c r="AH7" s="14"/>
      <c r="AI7" s="14" t="s">
        <v>57</v>
      </c>
      <c r="AJ7" s="26">
        <v>0.079</v>
      </c>
      <c r="AK7" s="56"/>
      <c r="AL7" s="14" t="s">
        <v>172</v>
      </c>
      <c r="AM7" s="26">
        <v>0.069</v>
      </c>
      <c r="AN7" s="56"/>
      <c r="AO7" s="14" t="s">
        <v>170</v>
      </c>
      <c r="AP7" s="26">
        <v>0.078</v>
      </c>
    </row>
    <row r="8">
      <c r="A8" s="14" t="s">
        <v>177</v>
      </c>
      <c r="B8" s="57">
        <v>0.066</v>
      </c>
      <c r="C8" s="14"/>
      <c r="D8" s="14" t="s">
        <v>45</v>
      </c>
      <c r="E8" s="57">
        <v>0.059</v>
      </c>
      <c r="F8" s="14"/>
      <c r="G8" s="57">
        <v>0.065</v>
      </c>
      <c r="H8" s="14"/>
      <c r="I8" s="14" t="s">
        <v>170</v>
      </c>
      <c r="J8" s="14"/>
      <c r="K8" s="14"/>
      <c r="L8" s="14"/>
      <c r="M8" s="14"/>
      <c r="N8" s="14"/>
      <c r="O8" s="14"/>
      <c r="P8" s="14"/>
      <c r="Q8" s="14" t="s">
        <v>45</v>
      </c>
      <c r="R8" s="57">
        <v>0.064</v>
      </c>
      <c r="S8" s="14"/>
      <c r="T8" s="14" t="s">
        <v>178</v>
      </c>
      <c r="U8" s="57">
        <v>0.046</v>
      </c>
      <c r="V8" s="14"/>
      <c r="W8" s="14" t="s">
        <v>42</v>
      </c>
      <c r="X8" s="57">
        <v>0.083</v>
      </c>
      <c r="Y8" s="14"/>
      <c r="Z8" s="14" t="s">
        <v>45</v>
      </c>
      <c r="AA8" s="57">
        <v>0.069</v>
      </c>
      <c r="AB8" s="14"/>
      <c r="AC8" s="14" t="s">
        <v>173</v>
      </c>
      <c r="AD8" s="26">
        <v>0.075</v>
      </c>
      <c r="AE8" s="14"/>
      <c r="AF8" s="14" t="s">
        <v>57</v>
      </c>
      <c r="AG8" s="26">
        <v>0.064</v>
      </c>
      <c r="AH8" s="14"/>
      <c r="AI8" s="14" t="s">
        <v>172</v>
      </c>
      <c r="AJ8" s="26">
        <v>0.076</v>
      </c>
      <c r="AK8" s="56"/>
      <c r="AL8" s="14" t="s">
        <v>170</v>
      </c>
      <c r="AM8" s="26">
        <v>0.057</v>
      </c>
      <c r="AN8" s="56"/>
      <c r="AO8" s="14" t="s">
        <v>40</v>
      </c>
      <c r="AP8" s="26">
        <v>0.07</v>
      </c>
    </row>
    <row r="9">
      <c r="A9" s="14" t="s">
        <v>45</v>
      </c>
      <c r="B9" s="57">
        <v>0.053</v>
      </c>
      <c r="C9" s="14"/>
      <c r="D9" s="14" t="s">
        <v>170</v>
      </c>
      <c r="E9" s="57">
        <v>0.058</v>
      </c>
      <c r="F9" s="14"/>
      <c r="G9" s="57">
        <v>0.056</v>
      </c>
      <c r="H9" s="14"/>
      <c r="I9" s="14" t="s">
        <v>179</v>
      </c>
      <c r="J9" s="14"/>
      <c r="K9" s="14"/>
      <c r="L9" s="14"/>
      <c r="M9" s="14"/>
      <c r="N9" s="14"/>
      <c r="O9" s="14"/>
      <c r="P9" s="14"/>
      <c r="Q9" s="14" t="s">
        <v>170</v>
      </c>
      <c r="R9" s="57">
        <v>0.061</v>
      </c>
      <c r="S9" s="14"/>
      <c r="T9" s="14" t="s">
        <v>171</v>
      </c>
      <c r="U9" s="57">
        <v>0.045</v>
      </c>
      <c r="V9" s="14"/>
      <c r="W9" s="14" t="s">
        <v>171</v>
      </c>
      <c r="X9" s="57">
        <v>0.067</v>
      </c>
      <c r="Y9" s="14"/>
      <c r="Z9" s="14" t="s">
        <v>170</v>
      </c>
      <c r="AA9" s="57">
        <v>0.064</v>
      </c>
      <c r="AB9" s="14"/>
      <c r="AC9" s="14" t="s">
        <v>40</v>
      </c>
      <c r="AD9" s="26">
        <v>0.068</v>
      </c>
      <c r="AE9" s="14"/>
      <c r="AF9" s="14" t="s">
        <v>45</v>
      </c>
      <c r="AG9" s="26">
        <v>0.062</v>
      </c>
      <c r="AH9" s="14"/>
      <c r="AI9" s="14" t="s">
        <v>170</v>
      </c>
      <c r="AJ9" s="26">
        <v>0.057</v>
      </c>
      <c r="AK9" s="56"/>
      <c r="AL9" s="14" t="s">
        <v>180</v>
      </c>
      <c r="AM9" s="26">
        <v>0.052</v>
      </c>
      <c r="AN9" s="56"/>
      <c r="AO9" s="14" t="s">
        <v>57</v>
      </c>
      <c r="AP9" s="26">
        <v>0.06</v>
      </c>
    </row>
    <row r="10">
      <c r="A10" s="14" t="s">
        <v>170</v>
      </c>
      <c r="B10" s="57">
        <v>0.046</v>
      </c>
      <c r="C10" s="14"/>
      <c r="D10" s="14" t="s">
        <v>177</v>
      </c>
      <c r="E10" s="57">
        <v>0.05</v>
      </c>
      <c r="F10" s="14"/>
      <c r="G10" s="57">
        <v>0.048</v>
      </c>
      <c r="H10" s="14"/>
      <c r="I10" s="14" t="s">
        <v>145</v>
      </c>
      <c r="J10" s="14"/>
      <c r="K10" s="14"/>
      <c r="L10" s="14"/>
      <c r="M10" s="14"/>
      <c r="N10" s="14"/>
      <c r="O10" s="14"/>
      <c r="P10" s="14"/>
      <c r="Q10" s="14" t="s">
        <v>177</v>
      </c>
      <c r="R10" s="57">
        <v>0.039</v>
      </c>
      <c r="S10" s="14"/>
      <c r="T10" s="14" t="s">
        <v>177</v>
      </c>
      <c r="U10" s="57">
        <v>0.042</v>
      </c>
      <c r="V10" s="14"/>
      <c r="W10" s="14" t="s">
        <v>51</v>
      </c>
      <c r="X10" s="57">
        <v>0.052</v>
      </c>
      <c r="Y10" s="14"/>
      <c r="Z10" s="14" t="s">
        <v>181</v>
      </c>
      <c r="AA10" s="57">
        <v>0.059</v>
      </c>
      <c r="AB10" s="14"/>
      <c r="AC10" s="14" t="s">
        <v>51</v>
      </c>
      <c r="AD10" s="26">
        <v>0.059</v>
      </c>
      <c r="AE10" s="14"/>
      <c r="AF10" s="14" t="s">
        <v>172</v>
      </c>
      <c r="AG10" s="26">
        <v>0.06</v>
      </c>
      <c r="AH10" s="14"/>
      <c r="AI10" s="14" t="s">
        <v>64</v>
      </c>
      <c r="AJ10" s="26">
        <v>0.042</v>
      </c>
      <c r="AK10" s="56"/>
      <c r="AL10" s="14" t="s">
        <v>57</v>
      </c>
      <c r="AM10" s="26">
        <v>0.051</v>
      </c>
      <c r="AN10" s="56"/>
      <c r="AO10" s="14" t="s">
        <v>172</v>
      </c>
      <c r="AP10" s="26">
        <v>0.051</v>
      </c>
    </row>
    <row r="11">
      <c r="A11" s="14" t="s">
        <v>51</v>
      </c>
      <c r="B11" s="57">
        <v>0.031</v>
      </c>
      <c r="C11" s="14"/>
      <c r="D11" s="14" t="s">
        <v>179</v>
      </c>
      <c r="E11" s="49">
        <v>0.03</v>
      </c>
      <c r="F11" s="14"/>
      <c r="G11" s="57">
        <v>0.034</v>
      </c>
      <c r="H11" s="14"/>
      <c r="I11" s="14" t="s">
        <v>183</v>
      </c>
      <c r="J11" s="14"/>
      <c r="K11" s="14"/>
      <c r="L11" s="14"/>
      <c r="M11" s="14"/>
      <c r="N11" s="14"/>
      <c r="O11" s="14"/>
      <c r="P11" s="14"/>
      <c r="Q11" s="14" t="s">
        <v>51</v>
      </c>
      <c r="R11" s="57">
        <v>0.038</v>
      </c>
      <c r="S11" s="14"/>
      <c r="T11" s="14" t="s">
        <v>57</v>
      </c>
      <c r="U11" s="57">
        <v>0.039</v>
      </c>
      <c r="V11" s="14"/>
      <c r="W11" s="14" t="s">
        <v>172</v>
      </c>
      <c r="X11" s="57">
        <v>0.051</v>
      </c>
      <c r="Y11" s="14"/>
      <c r="Z11" s="14" t="s">
        <v>184</v>
      </c>
      <c r="AA11" s="49">
        <v>0.05</v>
      </c>
      <c r="AB11" s="14"/>
      <c r="AC11" s="14" t="s">
        <v>45</v>
      </c>
      <c r="AD11" s="26">
        <v>0.05</v>
      </c>
      <c r="AE11" s="14"/>
      <c r="AF11" s="14" t="s">
        <v>40</v>
      </c>
      <c r="AG11" s="26">
        <v>0.043</v>
      </c>
      <c r="AH11" s="14"/>
      <c r="AI11" s="14" t="s">
        <v>51</v>
      </c>
      <c r="AJ11" s="26">
        <v>0.04</v>
      </c>
      <c r="AK11" s="56"/>
      <c r="AL11" s="14" t="s">
        <v>171</v>
      </c>
      <c r="AM11" s="26">
        <v>0.05</v>
      </c>
      <c r="AN11" s="56"/>
      <c r="AO11" s="14" t="s">
        <v>112</v>
      </c>
      <c r="AP11" s="26">
        <v>0.045</v>
      </c>
    </row>
    <row r="12">
      <c r="A12" s="14" t="s">
        <v>185</v>
      </c>
      <c r="B12" s="49">
        <v>0.03</v>
      </c>
      <c r="C12" s="14"/>
      <c r="D12" s="14" t="s">
        <v>185</v>
      </c>
      <c r="E12" s="49">
        <v>0.03</v>
      </c>
      <c r="F12" s="14"/>
      <c r="G12" s="57">
        <v>0.033</v>
      </c>
      <c r="H12" s="14"/>
      <c r="I12" s="14" t="s">
        <v>45</v>
      </c>
      <c r="J12" s="14"/>
      <c r="K12" s="14"/>
      <c r="L12" s="14"/>
      <c r="M12" s="14"/>
      <c r="N12" s="14"/>
      <c r="O12" s="14"/>
      <c r="P12" s="14"/>
      <c r="Q12" s="14" t="s">
        <v>179</v>
      </c>
      <c r="R12" s="57">
        <v>0.037</v>
      </c>
      <c r="S12" s="14"/>
      <c r="T12" s="14" t="s">
        <v>172</v>
      </c>
      <c r="U12" s="57">
        <v>0.024</v>
      </c>
      <c r="V12" s="14"/>
      <c r="W12" s="14" t="s">
        <v>173</v>
      </c>
      <c r="X12" s="57">
        <v>0.038</v>
      </c>
      <c r="Y12" s="14"/>
      <c r="Z12" s="14" t="s">
        <v>40</v>
      </c>
      <c r="AA12" s="49">
        <v>0.04</v>
      </c>
      <c r="AB12" s="14"/>
      <c r="AC12" s="14" t="s">
        <v>181</v>
      </c>
      <c r="AD12" s="26">
        <v>0.044</v>
      </c>
      <c r="AE12" s="14"/>
      <c r="AF12" s="14" t="s">
        <v>112</v>
      </c>
      <c r="AG12" s="26">
        <v>0.032</v>
      </c>
      <c r="AH12" s="14"/>
      <c r="AI12" s="14" t="s">
        <v>171</v>
      </c>
      <c r="AJ12" s="26">
        <v>0.038</v>
      </c>
      <c r="AK12" s="56"/>
      <c r="AL12" s="14" t="s">
        <v>40</v>
      </c>
      <c r="AM12" s="26">
        <v>0.044</v>
      </c>
      <c r="AN12" s="56"/>
      <c r="AO12" s="14" t="s">
        <v>171</v>
      </c>
      <c r="AP12" s="26">
        <v>0.04</v>
      </c>
    </row>
    <row r="13">
      <c r="A13" s="14" t="s">
        <v>53</v>
      </c>
      <c r="B13" s="57">
        <v>0.022</v>
      </c>
      <c r="C13" s="14"/>
      <c r="D13" s="14" t="s">
        <v>51</v>
      </c>
      <c r="E13" s="57">
        <v>0.021</v>
      </c>
      <c r="F13" s="14"/>
      <c r="G13" s="57">
        <v>0.031</v>
      </c>
      <c r="H13" s="14"/>
      <c r="I13" s="14" t="s">
        <v>40</v>
      </c>
      <c r="J13" s="14"/>
      <c r="K13" s="14"/>
      <c r="L13" s="14"/>
      <c r="M13" s="14"/>
      <c r="N13" s="14"/>
      <c r="O13" s="14"/>
      <c r="P13" s="14"/>
      <c r="Q13" s="14" t="s">
        <v>173</v>
      </c>
      <c r="R13" s="57">
        <v>0.032</v>
      </c>
      <c r="S13" s="14"/>
      <c r="T13" s="14" t="s">
        <v>183</v>
      </c>
      <c r="U13" s="57">
        <v>0.023</v>
      </c>
      <c r="V13" s="14"/>
      <c r="W13" s="14" t="s">
        <v>170</v>
      </c>
      <c r="X13" s="57">
        <v>0.031</v>
      </c>
      <c r="Y13" s="14"/>
      <c r="Z13" s="14" t="s">
        <v>51</v>
      </c>
      <c r="AA13" s="57">
        <v>0.039</v>
      </c>
      <c r="AB13" s="14"/>
      <c r="AC13" s="14" t="s">
        <v>55</v>
      </c>
      <c r="AD13" s="26">
        <v>0.043</v>
      </c>
      <c r="AE13" s="14"/>
      <c r="AF13" s="14" t="s">
        <v>171</v>
      </c>
      <c r="AG13" s="26">
        <v>0.032</v>
      </c>
      <c r="AH13" s="14"/>
      <c r="AI13" s="14" t="s">
        <v>45</v>
      </c>
      <c r="AJ13" s="26">
        <v>0.038</v>
      </c>
      <c r="AK13" s="56"/>
      <c r="AL13" s="14" t="s">
        <v>51</v>
      </c>
      <c r="AM13" s="26">
        <v>0.042</v>
      </c>
      <c r="AN13" s="56"/>
      <c r="AO13" s="14" t="s">
        <v>53</v>
      </c>
      <c r="AP13" s="26">
        <v>0.034</v>
      </c>
    </row>
    <row r="14">
      <c r="A14" s="14" t="s">
        <v>113</v>
      </c>
      <c r="B14" s="57">
        <f>100%-SUM(B4:B13)</f>
        <v>0.174</v>
      </c>
      <c r="C14" s="14"/>
      <c r="D14" s="14" t="s">
        <v>113</v>
      </c>
      <c r="E14" s="57">
        <f>100%-SUM(E4:E13)</f>
        <v>0.163</v>
      </c>
      <c r="F14" s="14"/>
      <c r="G14" s="57">
        <f>100%-SUM(G4:G13)</f>
        <v>0.186</v>
      </c>
      <c r="H14" s="14"/>
      <c r="I14" s="14" t="s">
        <v>113</v>
      </c>
      <c r="J14" s="14"/>
      <c r="K14" s="14"/>
      <c r="L14" s="14"/>
      <c r="M14" s="14"/>
      <c r="N14" s="14"/>
      <c r="O14" s="14"/>
      <c r="P14" s="14"/>
      <c r="Q14" s="14" t="s">
        <v>113</v>
      </c>
      <c r="R14" s="57">
        <f>100%-SUM(R4:R13)</f>
        <v>0.157</v>
      </c>
      <c r="S14" s="14"/>
      <c r="T14" s="14" t="s">
        <v>113</v>
      </c>
      <c r="U14" s="57">
        <f>100%-SUM(U4:U13)</f>
        <v>0.124</v>
      </c>
      <c r="V14" s="14"/>
      <c r="W14" s="14" t="s">
        <v>186</v>
      </c>
      <c r="X14" s="57">
        <f>100%-SUM(X4:X13)</f>
        <v>0.103</v>
      </c>
      <c r="Y14" s="14"/>
      <c r="Z14" s="14" t="s">
        <v>113</v>
      </c>
      <c r="AA14" s="49">
        <f>100%-SUM(AA4:AA13)</f>
        <v>0.228</v>
      </c>
      <c r="AB14" s="14"/>
      <c r="AC14" s="14" t="s">
        <v>113</v>
      </c>
      <c r="AD14" s="26">
        <f>100%-SUM(AD4:AD13)</f>
        <v>0.181</v>
      </c>
      <c r="AE14" s="14"/>
      <c r="AF14" s="14" t="s">
        <v>113</v>
      </c>
      <c r="AG14" s="26">
        <f>100%-SUM(AG4:AG13)</f>
        <v>0.118</v>
      </c>
      <c r="AH14" s="14"/>
      <c r="AI14" s="14" t="s">
        <v>113</v>
      </c>
      <c r="AJ14" s="26">
        <f>100%-SUM(AJ4:AJ13)</f>
        <v>0.181</v>
      </c>
      <c r="AK14" s="56"/>
      <c r="AL14" s="14" t="s">
        <v>113</v>
      </c>
      <c r="AM14" s="26">
        <f>100%-SUM(AM4:AM13)</f>
        <v>0.178</v>
      </c>
      <c r="AN14" s="56"/>
      <c r="AO14" s="14" t="s">
        <v>113</v>
      </c>
      <c r="AP14" s="26">
        <f>100%-SUM(AP4:AP13)</f>
        <v>0.128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I1" s="5" t="s">
        <v>4</v>
      </c>
    </row>
    <row r="2">
      <c r="A2" s="5" t="s">
        <v>7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</row>
    <row r="3">
      <c r="A3" s="22">
        <v>69.2</v>
      </c>
      <c r="B3" s="22">
        <v>68.1</v>
      </c>
      <c r="C3" s="22">
        <v>69.0</v>
      </c>
      <c r="D3" s="5">
        <v>62.5</v>
      </c>
      <c r="E3" s="5">
        <v>64.4</v>
      </c>
      <c r="F3" s="5">
        <v>60.9</v>
      </c>
    </row>
    <row r="5">
      <c r="A5" s="3" t="s">
        <v>17</v>
      </c>
    </row>
    <row r="6">
      <c r="A6" s="5" t="s">
        <v>7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>
      <c r="A7" s="22">
        <v>17.1</v>
      </c>
      <c r="B7" s="22">
        <v>20.4</v>
      </c>
      <c r="C7" s="22">
        <v>18.0</v>
      </c>
      <c r="D7" s="5">
        <v>26.6</v>
      </c>
      <c r="E7" s="5">
        <v>25.3</v>
      </c>
      <c r="F7" s="5">
        <v>19.9</v>
      </c>
    </row>
    <row r="10">
      <c r="A10" s="3" t="s">
        <v>35</v>
      </c>
    </row>
    <row r="11">
      <c r="B11" s="5" t="s">
        <v>7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  <row r="12">
      <c r="A12" s="5" t="s">
        <v>38</v>
      </c>
      <c r="B12" s="5">
        <v>78.3</v>
      </c>
      <c r="C12" s="5">
        <v>78.4</v>
      </c>
      <c r="D12" s="5">
        <v>78.1</v>
      </c>
      <c r="E12" s="5">
        <v>77.5</v>
      </c>
      <c r="F12" s="5">
        <v>79.7</v>
      </c>
      <c r="G12" s="5">
        <v>74.8</v>
      </c>
    </row>
    <row r="13">
      <c r="A13" s="5" t="s">
        <v>41</v>
      </c>
      <c r="B13" s="5">
        <v>77.5</v>
      </c>
      <c r="C13" s="5">
        <v>78.8</v>
      </c>
      <c r="D13" s="5">
        <v>81.7</v>
      </c>
      <c r="E13" s="5">
        <v>76.6</v>
      </c>
      <c r="F13" s="5">
        <v>75.7</v>
      </c>
      <c r="G13" s="5">
        <v>68.0</v>
      </c>
    </row>
    <row r="14">
      <c r="A14" s="5" t="s">
        <v>44</v>
      </c>
      <c r="B14" s="5">
        <v>60.2</v>
      </c>
      <c r="C14" s="5">
        <v>58.4</v>
      </c>
      <c r="D14" s="5">
        <v>56.2</v>
      </c>
      <c r="E14" s="5">
        <v>52.0</v>
      </c>
      <c r="F14" s="5">
        <v>53.4</v>
      </c>
      <c r="G14" s="5">
        <v>49.4</v>
      </c>
    </row>
    <row r="17">
      <c r="A17" s="3" t="s">
        <v>50</v>
      </c>
    </row>
    <row r="18">
      <c r="A18" s="5" t="s">
        <v>7</v>
      </c>
      <c r="B18" s="5" t="s">
        <v>9</v>
      </c>
      <c r="C18" s="5" t="s">
        <v>10</v>
      </c>
      <c r="D18" s="5" t="s">
        <v>11</v>
      </c>
      <c r="E18" s="5" t="s">
        <v>12</v>
      </c>
      <c r="F18" s="5" t="s">
        <v>13</v>
      </c>
    </row>
    <row r="19">
      <c r="A19" s="5">
        <v>16.8</v>
      </c>
      <c r="B19" s="5">
        <v>17.6</v>
      </c>
      <c r="C19" s="5">
        <v>13.5</v>
      </c>
      <c r="D19" s="5">
        <v>16.3</v>
      </c>
      <c r="E19" s="47">
        <v>45309.0</v>
      </c>
      <c r="F19" s="5">
        <v>18.9</v>
      </c>
    </row>
    <row r="21">
      <c r="A21" s="3" t="s">
        <v>58</v>
      </c>
    </row>
    <row r="22">
      <c r="A22" s="5" t="s">
        <v>7</v>
      </c>
      <c r="B22" s="5" t="s">
        <v>9</v>
      </c>
      <c r="C22" s="5" t="s">
        <v>10</v>
      </c>
      <c r="D22" s="5" t="s">
        <v>11</v>
      </c>
      <c r="E22" s="5" t="s">
        <v>12</v>
      </c>
      <c r="F22" s="5" t="s">
        <v>13</v>
      </c>
    </row>
    <row r="23">
      <c r="A23" s="5"/>
      <c r="B23" s="5"/>
      <c r="C23" s="5" t="s">
        <v>63</v>
      </c>
      <c r="D23" s="5" t="s">
        <v>63</v>
      </c>
      <c r="E23" s="14" t="s">
        <v>63</v>
      </c>
      <c r="F23" s="14" t="s">
        <v>63</v>
      </c>
    </row>
    <row r="24">
      <c r="A24" s="5"/>
      <c r="B24" s="5"/>
      <c r="C24" s="5">
        <v>2.6</v>
      </c>
      <c r="D24" s="5">
        <v>12.5</v>
      </c>
      <c r="E24" s="5">
        <v>14.4</v>
      </c>
      <c r="F24" s="5">
        <v>3.8</v>
      </c>
    </row>
    <row r="25">
      <c r="A25" s="22"/>
      <c r="B25" s="22"/>
      <c r="C25" s="22" t="s">
        <v>68</v>
      </c>
      <c r="D25" s="22" t="s">
        <v>68</v>
      </c>
      <c r="E25" s="37" t="s">
        <v>68</v>
      </c>
      <c r="F25" s="37" t="s">
        <v>68</v>
      </c>
    </row>
    <row r="26">
      <c r="A26" s="22"/>
      <c r="B26" s="22"/>
      <c r="C26" s="22">
        <v>21.0</v>
      </c>
      <c r="D26" s="40">
        <v>0.268</v>
      </c>
      <c r="E26" s="5">
        <v>29.5</v>
      </c>
      <c r="F26" s="5">
        <v>21.1</v>
      </c>
    </row>
    <row r="27">
      <c r="A27" s="22"/>
      <c r="B27" s="22"/>
      <c r="C27" s="22" t="s">
        <v>73</v>
      </c>
      <c r="D27" s="22" t="s">
        <v>73</v>
      </c>
      <c r="E27" s="37" t="s">
        <v>73</v>
      </c>
      <c r="F27" s="37" t="s">
        <v>73</v>
      </c>
    </row>
    <row r="28">
      <c r="A28" s="22"/>
      <c r="B28" s="22"/>
      <c r="C28" s="22">
        <v>23.8</v>
      </c>
      <c r="D28" s="5">
        <v>16.7</v>
      </c>
      <c r="E28" s="5">
        <v>17.0</v>
      </c>
      <c r="F28" s="5">
        <v>22.8</v>
      </c>
    </row>
    <row r="29">
      <c r="A29" s="22"/>
      <c r="B29" s="22"/>
      <c r="C29" s="22" t="s">
        <v>76</v>
      </c>
      <c r="D29" s="22" t="s">
        <v>76</v>
      </c>
      <c r="E29" s="37" t="s">
        <v>76</v>
      </c>
      <c r="F29" s="37" t="s">
        <v>76</v>
      </c>
    </row>
    <row r="30">
      <c r="A30" s="22"/>
      <c r="B30" s="22"/>
      <c r="C30" s="22">
        <v>18.2</v>
      </c>
      <c r="D30" s="5">
        <v>10.0</v>
      </c>
      <c r="E30" s="5">
        <v>10.3</v>
      </c>
      <c r="F30" s="5">
        <v>17.0</v>
      </c>
    </row>
    <row r="31">
      <c r="A31" s="22"/>
      <c r="B31" s="22"/>
      <c r="C31" s="22" t="s">
        <v>79</v>
      </c>
      <c r="D31" s="22" t="s">
        <v>79</v>
      </c>
      <c r="E31" s="37" t="s">
        <v>79</v>
      </c>
      <c r="F31" s="37" t="s">
        <v>79</v>
      </c>
    </row>
    <row r="32">
      <c r="A32" s="22"/>
      <c r="B32" s="22"/>
      <c r="C32" s="22">
        <v>9.7</v>
      </c>
      <c r="D32" s="5">
        <v>5.2</v>
      </c>
      <c r="E32" s="5">
        <v>5.0</v>
      </c>
      <c r="F32" s="5">
        <v>9.9</v>
      </c>
    </row>
    <row r="33">
      <c r="A33" s="22"/>
      <c r="B33" s="22"/>
      <c r="C33" s="22" t="s">
        <v>82</v>
      </c>
      <c r="D33" s="22" t="s">
        <v>82</v>
      </c>
      <c r="E33" s="37" t="s">
        <v>82</v>
      </c>
      <c r="F33" s="37" t="s">
        <v>82</v>
      </c>
    </row>
    <row r="34">
      <c r="A34" s="22"/>
      <c r="B34" s="22"/>
      <c r="C34" s="22">
        <v>17.1</v>
      </c>
      <c r="D34" s="5">
        <v>9.0</v>
      </c>
      <c r="E34" s="5">
        <v>8.7</v>
      </c>
      <c r="F34" s="5">
        <v>17.7</v>
      </c>
    </row>
    <row r="36">
      <c r="A36" s="28" t="s">
        <v>89</v>
      </c>
    </row>
    <row r="37">
      <c r="A37" s="5" t="s">
        <v>7</v>
      </c>
      <c r="B37" s="5" t="s">
        <v>9</v>
      </c>
      <c r="C37" s="5" t="s">
        <v>10</v>
      </c>
      <c r="D37" s="5" t="s">
        <v>11</v>
      </c>
      <c r="E37" s="5" t="s">
        <v>12</v>
      </c>
      <c r="F37" s="5" t="s">
        <v>13</v>
      </c>
    </row>
    <row r="38">
      <c r="A38" s="5"/>
      <c r="B38" s="5"/>
      <c r="C38" s="5" t="s">
        <v>8</v>
      </c>
    </row>
    <row r="39">
      <c r="A39" s="5"/>
      <c r="B39" s="5"/>
      <c r="C39" s="5">
        <v>21.5</v>
      </c>
      <c r="D39" s="5">
        <v>20.7</v>
      </c>
      <c r="E39" s="5">
        <v>20.5</v>
      </c>
      <c r="F39" s="5">
        <v>20.2</v>
      </c>
    </row>
    <row r="40">
      <c r="A40" s="5"/>
      <c r="B40" s="5"/>
      <c r="C40" s="5" t="s">
        <v>94</v>
      </c>
    </row>
    <row r="41">
      <c r="A41" s="5"/>
      <c r="B41" s="5"/>
      <c r="C41" s="5">
        <v>9.6</v>
      </c>
      <c r="D41" s="5">
        <v>6.5</v>
      </c>
      <c r="E41" s="5">
        <v>5.9</v>
      </c>
      <c r="F41" s="5">
        <v>7.0</v>
      </c>
    </row>
    <row r="42">
      <c r="A42" s="5"/>
      <c r="B42" s="5"/>
      <c r="C42" s="5" t="s">
        <v>23</v>
      </c>
    </row>
    <row r="43">
      <c r="A43" s="5"/>
      <c r="B43" s="5"/>
      <c r="C43" s="5">
        <v>8.3</v>
      </c>
      <c r="D43" s="5">
        <v>7.5</v>
      </c>
      <c r="E43" s="5">
        <v>7.6</v>
      </c>
      <c r="F43" s="5">
        <v>7.4</v>
      </c>
    </row>
    <row r="44">
      <c r="A44" s="5"/>
      <c r="B44" s="5"/>
      <c r="C44" s="5" t="s">
        <v>25</v>
      </c>
    </row>
    <row r="45">
      <c r="A45" s="5"/>
      <c r="B45" s="5"/>
      <c r="C45" s="5">
        <v>6.4</v>
      </c>
      <c r="D45" s="5">
        <v>5.0</v>
      </c>
      <c r="E45" s="5">
        <v>5.0</v>
      </c>
      <c r="F45" s="5">
        <v>5.4</v>
      </c>
    </row>
    <row r="46">
      <c r="A46" s="5"/>
      <c r="B46" s="5"/>
      <c r="C46" s="5" t="s">
        <v>26</v>
      </c>
    </row>
    <row r="47">
      <c r="A47" s="5"/>
      <c r="B47" s="5"/>
      <c r="C47" s="5">
        <v>5.8</v>
      </c>
      <c r="D47" s="5">
        <v>5.1</v>
      </c>
      <c r="E47" s="5">
        <v>5.0</v>
      </c>
      <c r="F47" s="5">
        <v>4.7</v>
      </c>
    </row>
    <row r="48">
      <c r="A48" s="5"/>
      <c r="B48" s="5"/>
      <c r="C48" s="5" t="s">
        <v>27</v>
      </c>
    </row>
    <row r="49">
      <c r="A49" s="5"/>
      <c r="B49" s="5"/>
      <c r="C49" s="5">
        <v>5.2</v>
      </c>
      <c r="D49" s="5">
        <v>4.5</v>
      </c>
      <c r="E49" s="5">
        <v>4.7</v>
      </c>
      <c r="F49" s="5">
        <v>4.4</v>
      </c>
    </row>
    <row r="50">
      <c r="A50" s="5"/>
      <c r="B50" s="5"/>
      <c r="C50" s="5" t="s">
        <v>37</v>
      </c>
    </row>
    <row r="51">
      <c r="A51" s="5"/>
      <c r="B51" s="5"/>
      <c r="C51" s="5">
        <v>4.4</v>
      </c>
      <c r="D51" s="5">
        <v>4.9</v>
      </c>
      <c r="E51" s="5">
        <v>5.0</v>
      </c>
      <c r="F51" s="5">
        <v>5.3</v>
      </c>
    </row>
    <row r="52">
      <c r="A52" s="5"/>
      <c r="B52" s="5"/>
      <c r="C52" s="5" t="s">
        <v>36</v>
      </c>
    </row>
    <row r="53">
      <c r="A53" s="5"/>
      <c r="B53" s="5"/>
      <c r="C53" s="5">
        <v>4.1</v>
      </c>
      <c r="D53" s="5">
        <v>3.7</v>
      </c>
      <c r="E53" s="5">
        <v>3.6</v>
      </c>
      <c r="F53" s="5">
        <v>3.7</v>
      </c>
    </row>
    <row r="54">
      <c r="A54" s="5"/>
      <c r="B54" s="5"/>
      <c r="C54" s="5" t="s">
        <v>29</v>
      </c>
    </row>
    <row r="55">
      <c r="A55" s="5"/>
      <c r="B55" s="5"/>
      <c r="C55" s="5">
        <v>4.5</v>
      </c>
      <c r="D55" s="5">
        <v>3.6</v>
      </c>
      <c r="E55" s="5">
        <v>3.5</v>
      </c>
      <c r="F55" s="5">
        <v>3.6</v>
      </c>
    </row>
    <row r="56">
      <c r="A56" s="5"/>
      <c r="B56" s="5"/>
      <c r="C56" s="5" t="s">
        <v>31</v>
      </c>
    </row>
    <row r="57">
      <c r="A57" s="5"/>
      <c r="B57" s="5"/>
      <c r="C57" s="5">
        <v>3.4</v>
      </c>
      <c r="D57" s="5">
        <v>3.1</v>
      </c>
      <c r="E57" s="5">
        <v>3.0</v>
      </c>
      <c r="F57" s="5">
        <v>3.0</v>
      </c>
    </row>
    <row r="59">
      <c r="A59" s="28" t="s">
        <v>95</v>
      </c>
    </row>
    <row r="60">
      <c r="A60" s="5" t="s">
        <v>7</v>
      </c>
      <c r="B60" s="5" t="s">
        <v>9</v>
      </c>
      <c r="C60" s="5" t="s">
        <v>10</v>
      </c>
      <c r="D60" s="5" t="s">
        <v>11</v>
      </c>
      <c r="E60" s="5" t="s">
        <v>12</v>
      </c>
      <c r="F60" s="5" t="s">
        <v>13</v>
      </c>
    </row>
    <row r="61">
      <c r="A61" s="5" t="s">
        <v>96</v>
      </c>
      <c r="B61" s="5" t="s">
        <v>96</v>
      </c>
      <c r="C61" s="5" t="s">
        <v>96</v>
      </c>
      <c r="D61" s="5" t="s">
        <v>96</v>
      </c>
      <c r="E61" s="5" t="s">
        <v>96</v>
      </c>
      <c r="F61" s="5" t="s">
        <v>96</v>
      </c>
    </row>
    <row r="62">
      <c r="A62" s="5">
        <v>2.0</v>
      </c>
      <c r="B62" s="5">
        <v>40.0</v>
      </c>
      <c r="C62" s="5">
        <v>33.33</v>
      </c>
      <c r="D62" s="5">
        <v>8.33</v>
      </c>
      <c r="E62" s="5">
        <v>52.0</v>
      </c>
      <c r="F62" s="5">
        <v>50.0</v>
      </c>
    </row>
    <row r="63">
      <c r="A63" s="5" t="s">
        <v>97</v>
      </c>
      <c r="B63" s="5" t="s">
        <v>97</v>
      </c>
      <c r="C63" s="5" t="s">
        <v>97</v>
      </c>
      <c r="D63" s="5" t="s">
        <v>97</v>
      </c>
      <c r="E63" s="5" t="s">
        <v>97</v>
      </c>
      <c r="F63" s="5" t="s">
        <v>97</v>
      </c>
    </row>
    <row r="64">
      <c r="A64" s="5">
        <v>51.13</v>
      </c>
      <c r="B64" s="5">
        <v>52.95</v>
      </c>
      <c r="C64" s="5">
        <v>50.86</v>
      </c>
      <c r="D64" s="5">
        <v>36.07</v>
      </c>
      <c r="E64" s="5">
        <v>40.19</v>
      </c>
      <c r="F64" s="5">
        <v>29.53</v>
      </c>
    </row>
    <row r="65">
      <c r="A65" s="5" t="s">
        <v>98</v>
      </c>
      <c r="B65" s="5" t="s">
        <v>98</v>
      </c>
      <c r="C65" s="5" t="s">
        <v>98</v>
      </c>
      <c r="D65" s="5" t="s">
        <v>98</v>
      </c>
      <c r="E65" s="5" t="s">
        <v>98</v>
      </c>
      <c r="F65" s="5" t="s">
        <v>98</v>
      </c>
    </row>
    <row r="66">
      <c r="A66" s="5">
        <v>68.07</v>
      </c>
      <c r="B66" s="5">
        <v>66.41</v>
      </c>
      <c r="C66" s="5">
        <v>68.14</v>
      </c>
      <c r="D66" s="5">
        <v>58.76</v>
      </c>
      <c r="E66" s="5">
        <v>63.71</v>
      </c>
      <c r="F66" s="5">
        <v>61.62</v>
      </c>
    </row>
    <row r="67">
      <c r="A67" s="5" t="s">
        <v>99</v>
      </c>
      <c r="B67" s="5" t="s">
        <v>99</v>
      </c>
      <c r="C67" s="5" t="s">
        <v>99</v>
      </c>
      <c r="D67" s="5" t="s">
        <v>99</v>
      </c>
      <c r="E67" s="5" t="s">
        <v>99</v>
      </c>
      <c r="F67" s="5" t="s">
        <v>99</v>
      </c>
    </row>
    <row r="68">
      <c r="A68" s="5">
        <v>69.02</v>
      </c>
      <c r="B68" s="5">
        <v>68.36</v>
      </c>
      <c r="C68" s="5">
        <v>66.68</v>
      </c>
      <c r="D68" s="5">
        <v>56.14</v>
      </c>
      <c r="E68" s="5">
        <v>61.49</v>
      </c>
      <c r="F68" s="5">
        <v>56.96</v>
      </c>
    </row>
    <row r="69">
      <c r="A69" s="5" t="s">
        <v>100</v>
      </c>
      <c r="B69" s="5" t="s">
        <v>100</v>
      </c>
      <c r="C69" s="5" t="s">
        <v>100</v>
      </c>
      <c r="D69" s="5" t="s">
        <v>100</v>
      </c>
      <c r="E69" s="5" t="s">
        <v>100</v>
      </c>
      <c r="F69" s="5" t="s">
        <v>100</v>
      </c>
    </row>
    <row r="70">
      <c r="A70" s="5">
        <v>73.52</v>
      </c>
      <c r="B70" s="5">
        <v>74.04</v>
      </c>
      <c r="C70" s="5">
        <v>73.18</v>
      </c>
      <c r="D70" s="5">
        <v>64.39</v>
      </c>
      <c r="E70" s="5">
        <v>71.83</v>
      </c>
      <c r="F70" s="5">
        <v>65.02</v>
      </c>
    </row>
    <row r="71">
      <c r="A71" s="5" t="s">
        <v>101</v>
      </c>
      <c r="B71" s="5" t="s">
        <v>101</v>
      </c>
      <c r="C71" s="5" t="s">
        <v>101</v>
      </c>
      <c r="D71" s="5" t="s">
        <v>101</v>
      </c>
      <c r="E71" s="5" t="s">
        <v>101</v>
      </c>
      <c r="F71" s="5" t="s">
        <v>101</v>
      </c>
    </row>
    <row r="72">
      <c r="A72" s="5">
        <v>76.58</v>
      </c>
      <c r="B72" s="5">
        <v>75.68</v>
      </c>
      <c r="C72" s="5">
        <v>80.25</v>
      </c>
      <c r="D72" s="5">
        <v>71.86</v>
      </c>
      <c r="E72" s="5">
        <v>74.68</v>
      </c>
      <c r="F72" s="5">
        <v>70.15</v>
      </c>
    </row>
    <row r="74">
      <c r="A74" s="3" t="s">
        <v>159</v>
      </c>
    </row>
    <row r="75">
      <c r="A75" s="5"/>
      <c r="B75" s="5"/>
      <c r="C75" s="5" t="s">
        <v>161</v>
      </c>
    </row>
    <row r="76">
      <c r="A76" s="5"/>
      <c r="B76" s="5"/>
      <c r="C76" s="5">
        <v>52.2</v>
      </c>
      <c r="D76" s="5">
        <v>50.7</v>
      </c>
      <c r="E76" s="5">
        <v>50.6</v>
      </c>
      <c r="F76" s="5">
        <v>50.3</v>
      </c>
    </row>
    <row r="77">
      <c r="A77" s="5"/>
      <c r="B77" s="5"/>
      <c r="C77" s="5" t="s">
        <v>162</v>
      </c>
    </row>
    <row r="78">
      <c r="A78" s="5"/>
      <c r="B78" s="5"/>
      <c r="C78" s="5">
        <v>39.8</v>
      </c>
      <c r="D78" s="5">
        <v>40.4</v>
      </c>
      <c r="E78" s="5">
        <v>40.7</v>
      </c>
      <c r="F78" s="5">
        <v>40.0</v>
      </c>
    </row>
    <row r="79">
      <c r="A79" s="5"/>
      <c r="B79" s="5"/>
      <c r="C79" s="5" t="s">
        <v>163</v>
      </c>
    </row>
    <row r="80">
      <c r="A80" s="5"/>
      <c r="B80" s="5"/>
      <c r="C80" s="5">
        <v>7.9</v>
      </c>
      <c r="D80" s="11">
        <f t="shared" ref="D80:F80" si="1">100-D78-D76</f>
        <v>8.9</v>
      </c>
      <c r="E80" s="11">
        <f t="shared" si="1"/>
        <v>8.7</v>
      </c>
      <c r="F80" s="11">
        <f t="shared" si="1"/>
        <v>9.7</v>
      </c>
    </row>
    <row r="82">
      <c r="A82" s="3" t="s">
        <v>102</v>
      </c>
    </row>
    <row r="83">
      <c r="A83" s="5" t="s">
        <v>182</v>
      </c>
      <c r="B83" s="5" t="s">
        <v>118</v>
      </c>
      <c r="C83" s="5" t="s">
        <v>119</v>
      </c>
      <c r="D83" s="5" t="s">
        <v>120</v>
      </c>
      <c r="E83" s="5" t="s">
        <v>121</v>
      </c>
      <c r="F83" s="5" t="s">
        <v>13</v>
      </c>
    </row>
    <row r="84">
      <c r="A84" s="5" t="s">
        <v>103</v>
      </c>
      <c r="B84" s="5"/>
    </row>
    <row r="85">
      <c r="A85" s="5">
        <v>21.0</v>
      </c>
      <c r="C85" s="5">
        <v>28.1</v>
      </c>
      <c r="D85" s="5">
        <v>30.9</v>
      </c>
      <c r="E85" s="5">
        <v>29.8</v>
      </c>
      <c r="F85" s="5">
        <v>27.7</v>
      </c>
    </row>
    <row r="86">
      <c r="A86" s="5" t="s">
        <v>104</v>
      </c>
      <c r="B86" s="5"/>
    </row>
    <row r="87">
      <c r="A87" s="5">
        <v>27.2</v>
      </c>
      <c r="C87" s="5">
        <v>24.9</v>
      </c>
      <c r="D87" s="5">
        <v>26.3</v>
      </c>
      <c r="E87" s="5">
        <v>27.0</v>
      </c>
      <c r="F87" s="5">
        <v>28.3</v>
      </c>
    </row>
    <row r="88">
      <c r="A88" s="5" t="s">
        <v>105</v>
      </c>
    </row>
    <row r="89">
      <c r="A89" s="5">
        <v>42.5</v>
      </c>
      <c r="C89" s="5">
        <v>38.2</v>
      </c>
      <c r="D89" s="5">
        <v>33.5</v>
      </c>
      <c r="E89" s="5">
        <v>34.2</v>
      </c>
      <c r="F89" s="5">
        <v>32.3</v>
      </c>
    </row>
    <row r="90">
      <c r="A90" s="5" t="s">
        <v>106</v>
      </c>
      <c r="B90" s="5"/>
    </row>
    <row r="91">
      <c r="A91" s="5">
        <v>8.2</v>
      </c>
      <c r="C91" s="5">
        <v>7.5</v>
      </c>
      <c r="D91" s="5">
        <v>8.2</v>
      </c>
      <c r="E91" s="5">
        <v>7.9</v>
      </c>
      <c r="F91" s="5">
        <v>10.7</v>
      </c>
    </row>
    <row r="92">
      <c r="A92" s="5" t="s">
        <v>107</v>
      </c>
      <c r="B92" s="5"/>
    </row>
    <row r="93">
      <c r="A93" s="5">
        <v>0.7</v>
      </c>
      <c r="C93" s="5">
        <v>0.8</v>
      </c>
      <c r="D93" s="5">
        <v>0.8</v>
      </c>
      <c r="E93" s="5">
        <v>0.8</v>
      </c>
      <c r="F93" s="5">
        <v>0.6</v>
      </c>
    </row>
    <row r="94">
      <c r="A94" s="5" t="s">
        <v>109</v>
      </c>
      <c r="B94" s="5"/>
    </row>
    <row r="95">
      <c r="A95" s="5">
        <v>0.4</v>
      </c>
      <c r="C95" s="5">
        <v>0.6</v>
      </c>
      <c r="D95" s="5">
        <v>0.4</v>
      </c>
      <c r="E95" s="5">
        <v>0.4</v>
      </c>
      <c r="F95" s="5">
        <v>0.4</v>
      </c>
    </row>
    <row r="98">
      <c r="A98" s="3" t="s">
        <v>191</v>
      </c>
    </row>
    <row r="99">
      <c r="A99" s="5" t="s">
        <v>11</v>
      </c>
      <c r="E99" s="5" t="s">
        <v>12</v>
      </c>
      <c r="H99" s="5" t="s">
        <v>13</v>
      </c>
    </row>
    <row r="100">
      <c r="A100" s="5" t="s">
        <v>24</v>
      </c>
      <c r="B100" s="40">
        <v>0.285</v>
      </c>
      <c r="D100" s="5" t="s">
        <v>24</v>
      </c>
      <c r="E100" s="40">
        <v>0.301</v>
      </c>
      <c r="G100" s="5" t="s">
        <v>24</v>
      </c>
      <c r="H100" s="40">
        <v>0.209</v>
      </c>
    </row>
    <row r="101">
      <c r="A101" s="5" t="s">
        <v>169</v>
      </c>
      <c r="B101" s="40">
        <v>0.106</v>
      </c>
      <c r="D101" s="5" t="s">
        <v>169</v>
      </c>
      <c r="E101" s="40">
        <v>0.113</v>
      </c>
      <c r="G101" s="5" t="s">
        <v>171</v>
      </c>
      <c r="H101" s="40">
        <v>0.115</v>
      </c>
    </row>
    <row r="102">
      <c r="A102" s="5" t="s">
        <v>171</v>
      </c>
      <c r="B102" s="40">
        <v>0.097</v>
      </c>
      <c r="D102" s="5" t="s">
        <v>171</v>
      </c>
      <c r="E102" s="40">
        <v>0.099</v>
      </c>
      <c r="G102" s="5" t="s">
        <v>169</v>
      </c>
      <c r="H102" s="40">
        <v>0.113</v>
      </c>
    </row>
    <row r="103">
      <c r="A103" s="5" t="s">
        <v>42</v>
      </c>
      <c r="B103" s="41">
        <v>0.09</v>
      </c>
      <c r="D103" s="5" t="s">
        <v>42</v>
      </c>
      <c r="E103" s="40">
        <v>0.076</v>
      </c>
      <c r="G103" s="5" t="s">
        <v>42</v>
      </c>
      <c r="H103" s="41">
        <v>0.11</v>
      </c>
    </row>
    <row r="104">
      <c r="A104" s="5" t="s">
        <v>177</v>
      </c>
      <c r="B104" s="40">
        <v>0.066</v>
      </c>
      <c r="D104" s="5" t="s">
        <v>45</v>
      </c>
      <c r="E104" s="40">
        <v>0.059</v>
      </c>
      <c r="G104" s="5" t="s">
        <v>45</v>
      </c>
      <c r="H104" s="40">
        <v>0.065</v>
      </c>
    </row>
    <row r="105">
      <c r="A105" s="5" t="s">
        <v>45</v>
      </c>
      <c r="B105" s="40">
        <v>0.053</v>
      </c>
      <c r="D105" s="5" t="s">
        <v>170</v>
      </c>
      <c r="E105" s="40">
        <v>0.058</v>
      </c>
      <c r="G105" s="5" t="s">
        <v>170</v>
      </c>
      <c r="H105" s="40">
        <v>0.056</v>
      </c>
    </row>
    <row r="106">
      <c r="A106" s="5" t="s">
        <v>170</v>
      </c>
      <c r="B106" s="40">
        <v>0.046</v>
      </c>
      <c r="D106" s="5" t="s">
        <v>177</v>
      </c>
      <c r="E106" s="40">
        <v>0.05</v>
      </c>
      <c r="G106" s="5" t="s">
        <v>177</v>
      </c>
      <c r="H106" s="40">
        <v>0.048</v>
      </c>
    </row>
    <row r="107">
      <c r="A107" s="5" t="s">
        <v>51</v>
      </c>
      <c r="B107" s="40">
        <v>0.031</v>
      </c>
      <c r="D107" s="5" t="s">
        <v>179</v>
      </c>
      <c r="E107" s="41">
        <v>0.03</v>
      </c>
      <c r="G107" s="5" t="s">
        <v>51</v>
      </c>
      <c r="H107" s="40">
        <v>0.034</v>
      </c>
    </row>
    <row r="108">
      <c r="A108" s="5" t="s">
        <v>185</v>
      </c>
      <c r="B108" s="41">
        <v>0.03</v>
      </c>
      <c r="D108" s="5" t="s">
        <v>185</v>
      </c>
      <c r="E108" s="41">
        <v>0.03</v>
      </c>
      <c r="G108" s="5" t="s">
        <v>179</v>
      </c>
      <c r="H108" s="40">
        <v>0.033</v>
      </c>
    </row>
    <row r="109">
      <c r="A109" s="5" t="s">
        <v>53</v>
      </c>
      <c r="B109" s="40">
        <v>0.022</v>
      </c>
      <c r="D109" s="5" t="s">
        <v>51</v>
      </c>
      <c r="E109" s="40">
        <v>0.021</v>
      </c>
      <c r="G109" s="5" t="s">
        <v>173</v>
      </c>
      <c r="H109" s="40">
        <v>0.031</v>
      </c>
    </row>
    <row r="110">
      <c r="A110" s="5" t="s">
        <v>113</v>
      </c>
      <c r="B110" s="59">
        <f>100%-SUM(B100:B109)</f>
        <v>0.174</v>
      </c>
      <c r="D110" s="5" t="s">
        <v>113</v>
      </c>
      <c r="E110" s="59">
        <f>100%-SUM(E100:E109)</f>
        <v>0.163</v>
      </c>
      <c r="G110" s="5" t="s">
        <v>113</v>
      </c>
      <c r="H110" s="59">
        <f>100%-SUM(H100:H109)</f>
        <v>0.186</v>
      </c>
    </row>
    <row r="114">
      <c r="A114" s="3"/>
      <c r="B114" s="3"/>
      <c r="C114" s="3" t="s">
        <v>127</v>
      </c>
    </row>
    <row r="115">
      <c r="A115" s="5"/>
      <c r="B115" s="5"/>
      <c r="C115" s="5" t="s">
        <v>11</v>
      </c>
      <c r="D115" s="5">
        <v>8.1</v>
      </c>
    </row>
    <row r="116">
      <c r="A116" s="5"/>
      <c r="B116" s="5"/>
      <c r="C116" s="5" t="s">
        <v>12</v>
      </c>
      <c r="D116" s="5">
        <v>9.7</v>
      </c>
    </row>
    <row r="117">
      <c r="A117" s="5"/>
      <c r="B117" s="5"/>
      <c r="C117" s="5" t="s">
        <v>13</v>
      </c>
      <c r="D117" s="5">
        <v>13.2</v>
      </c>
    </row>
    <row r="121">
      <c r="A121" s="8"/>
      <c r="B121" s="8"/>
      <c r="C121" s="8" t="s">
        <v>199</v>
      </c>
    </row>
  </sheetData>
  <mergeCells count="11">
    <mergeCell ref="A74:D74"/>
    <mergeCell ref="A82:D82"/>
    <mergeCell ref="A98:D98"/>
    <mergeCell ref="C114:D114"/>
    <mergeCell ref="A1:D1"/>
    <mergeCell ref="A5:D5"/>
    <mergeCell ref="A10:C10"/>
    <mergeCell ref="A17:D17"/>
    <mergeCell ref="A21:D21"/>
    <mergeCell ref="A36:D36"/>
    <mergeCell ref="A59:D59"/>
  </mergeCells>
  <drawing r:id="rId1"/>
</worksheet>
</file>